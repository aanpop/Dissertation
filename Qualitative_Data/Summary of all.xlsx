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tables/table7.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unicorvinus-my.sharepoint.com/personal/ahmad_anwar_stud_uni-corvinus_hu/Documents/CORVINUS kuliah/Dissertation/DATA/Qualitative/"/>
    </mc:Choice>
  </mc:AlternateContent>
  <xr:revisionPtr revIDLastSave="265" documentId="13_ncr:20001_{DC4354DC-6F87-44CB-9639-6EA179C0D10D}" xr6:coauthVersionLast="47" xr6:coauthVersionMax="47" xr10:uidLastSave="{60AA52E7-1E46-4814-9971-955DAB3A116D}"/>
  <bookViews>
    <workbookView xWindow="-120" yWindow="-120" windowWidth="23280" windowHeight="14880" firstSheet="4" activeTab="4" xr2:uid="{00000000-000D-0000-FFFF-FFFF00000000}"/>
  </bookViews>
  <sheets>
    <sheet name="SCMP" sheetId="1" state="hidden" r:id="rId1"/>
    <sheet name="Nikkei Asia" sheetId="2" state="hidden" r:id="rId2"/>
    <sheet name="ST" sheetId="3" state="hidden" r:id="rId3"/>
    <sheet name="GOOGLE NEWS" sheetId="4" state="hidden" r:id="rId4"/>
    <sheet name="CHART_Summary" sheetId="8" r:id="rId5"/>
    <sheet name="Official_Doc" sheetId="5" r:id="rId6"/>
    <sheet name="News" sheetId="6" r:id="rId7"/>
    <sheet name="Scopus_articles" sheetId="7" r:id="rId8"/>
  </sheets>
  <calcPr calcId="191029"/>
  <pivotCaches>
    <pivotCache cacheId="0"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 i="8" l="1"/>
  <c r="D17" i="8"/>
  <c r="C17" i="8"/>
  <c r="B15" i="4"/>
  <c r="B5" i="4"/>
  <c r="F44" i="3"/>
  <c r="F43" i="3"/>
  <c r="F42" i="3"/>
  <c r="F41" i="3"/>
  <c r="F40" i="3"/>
  <c r="F39" i="3"/>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F7" i="3"/>
  <c r="F6" i="3"/>
  <c r="F5" i="3"/>
  <c r="F4" i="3"/>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F9" i="2"/>
  <c r="F8" i="2"/>
  <c r="F7" i="2"/>
  <c r="F6" i="2"/>
  <c r="F5" i="2"/>
  <c r="F4" i="2"/>
  <c r="G36" i="1"/>
  <c r="F36" i="1"/>
  <c r="H35" i="1"/>
  <c r="G35" i="1"/>
  <c r="F35" i="1"/>
  <c r="G34" i="1"/>
  <c r="F34" i="1"/>
  <c r="H33" i="1"/>
  <c r="G33" i="1"/>
  <c r="F33" i="1"/>
  <c r="H32" i="1"/>
  <c r="G32" i="1"/>
  <c r="F32" i="1"/>
  <c r="H31" i="1"/>
  <c r="G31" i="1"/>
  <c r="F31" i="1"/>
  <c r="H30" i="1"/>
  <c r="G30" i="1"/>
  <c r="F30" i="1"/>
  <c r="G29" i="1"/>
  <c r="F29" i="1"/>
  <c r="H28" i="1"/>
  <c r="G28" i="1"/>
  <c r="F28" i="1"/>
  <c r="G27" i="1"/>
  <c r="F27" i="1"/>
  <c r="G26" i="1"/>
  <c r="F26" i="1"/>
  <c r="H25" i="1"/>
  <c r="G25" i="1"/>
  <c r="F25" i="1"/>
  <c r="G24" i="1"/>
  <c r="F24" i="1"/>
  <c r="G23" i="1"/>
  <c r="F23" i="1"/>
  <c r="G22" i="1"/>
  <c r="F22" i="1"/>
  <c r="H21" i="1"/>
  <c r="G21" i="1"/>
  <c r="F21" i="1"/>
  <c r="G20" i="1"/>
  <c r="F20" i="1"/>
  <c r="G19" i="1"/>
  <c r="F19" i="1"/>
  <c r="G18" i="1"/>
  <c r="F18" i="1"/>
  <c r="H17" i="1"/>
  <c r="G17" i="1"/>
  <c r="F17" i="1"/>
  <c r="H16" i="1"/>
  <c r="G16" i="1"/>
  <c r="F16" i="1"/>
  <c r="H15" i="1"/>
  <c r="G15" i="1"/>
  <c r="F15" i="1"/>
  <c r="G14" i="1"/>
  <c r="F14" i="1"/>
  <c r="G13" i="1"/>
  <c r="F13" i="1"/>
  <c r="G12" i="1"/>
  <c r="F12" i="1"/>
  <c r="G11" i="1"/>
  <c r="F11" i="1"/>
  <c r="H10" i="1"/>
  <c r="G10" i="1"/>
  <c r="F10" i="1"/>
  <c r="H9" i="1"/>
  <c r="G9" i="1"/>
  <c r="F9" i="1"/>
  <c r="H8" i="1"/>
  <c r="G8" i="1"/>
  <c r="F8" i="1"/>
  <c r="H7" i="1"/>
  <c r="G7" i="1"/>
  <c r="F7" i="1"/>
  <c r="H6" i="1"/>
  <c r="G6" i="1"/>
  <c r="F6" i="1"/>
  <c r="H5" i="1"/>
  <c r="G5" i="1"/>
  <c r="F5" i="1"/>
  <c r="H4" i="1"/>
  <c r="G4" i="1"/>
  <c r="F4" i="1"/>
  <c r="F17" i="8" l="1"/>
</calcChain>
</file>

<file path=xl/sharedStrings.xml><?xml version="1.0" encoding="utf-8"?>
<sst xmlns="http://schemas.openxmlformats.org/spreadsheetml/2006/main" count="1855" uniqueCount="1309">
  <si>
    <t>https://webcache.googleusercontent.com/search?q=cache:</t>
  </si>
  <si>
    <t>nr</t>
  </si>
  <si>
    <t>title</t>
  </si>
  <si>
    <t>in text</t>
  </si>
  <si>
    <t>link</t>
  </si>
  <si>
    <t>date</t>
  </si>
  <si>
    <t>Column1</t>
  </si>
  <si>
    <t>Asean nations react coolly to US navy commander's call for ...</t>
  </si>
  <si>
    <t>Asean nations react coolly to US navy commander's call for joint patrols in South China sea. Southeast Asian neighbours unlikely to jeopardise growing trade ...</t>
  </si>
  <si>
    <t>https://www.scmp.com/news/asia/article/1741450/asean-nations-react-coolly-us-navy-commanders-call-joint-patrols-south</t>
  </si>
  <si>
    <t>Mar 19, 2015</t>
  </si>
  <si>
    <t>Wen keen to mend fences with Asean</t>
  </si>
  <si>
    <t>On Thursday, China asked the Philippines to return 25 small boats that were seized when being towed in waters near the Spratly Islands in the South China Sea.</t>
  </si>
  <si>
    <t>https://www.scmp.com/article/982578/wen-keen-mend-fences-asean</t>
  </si>
  <si>
    <t>Oct 22, 2011</t>
  </si>
  <si>
    <t>Xi Jinping holds Malaysia talks in regional charm offensive</t>
  </si>
  <si>
    <t>China's role in Southeast Asia has been hampered by maritime disputes in the South China Sea and suspicions among Asean nations about China's military build-up.</t>
  </si>
  <si>
    <t>https://www.scmp.com/news/china/article/1324370/xi-jinping-holds-malaysia-talks-regional-charm-offensive</t>
  </si>
  <si>
    <t>Oct 4, 2013</t>
  </si>
  <si>
    <t>Malaysia opens ASEAN summit with urge to world leaders ...</t>
  </si>
  <si>
    <t>Beijing has overlapping claims with Vietnam, the Philippines, Malaysia, Taiwan and Brunei in the South China Sea, through which $5 trillion in ship-borne trade ...</t>
  </si>
  <si>
    <t>https://www.scmp.com/news/world/article/1881342/malaysia-opens-asean-summit-urge-world-leaders-confront-islamist</t>
  </si>
  <si>
    <t>Nov 21, 2015</t>
  </si>
  <si>
    <t>Asean, Beijing continue to work towards code of conduct</t>
  </si>
  <si>
    <t>Away from the troubles of the South China Sea, Premier Li also called for China and Asean to boost regional investment and trade, and said the two sides had ...</t>
  </si>
  <si>
    <t>https://www.scmp.com/news/china/diplomacy/article/2173174/south-china-sea-asean-beijing-continue-work-towards-code</t>
  </si>
  <si>
    <t>Nov 14, 2018</t>
  </si>
  <si>
    <t>China embarks on first joint naval drills with Asean as US ...</t>
  </si>
  <si>
    <t>China and Asean are holding their first joint naval exercises as Beijing targets stronger regional military ties and confronts a growing rivalry with the United ...</t>
  </si>
  <si>
    <t>https://www.scmp.com/news/china/military/article/2169727/china-embarks-first-joint-naval-drills-asean-us-tensions-simmer</t>
  </si>
  <si>
    <t>Oct 22, 2018</t>
  </si>
  <si>
    <t>US-led Quad coalition a 'useful anti-China bulwark' in Asia ...</t>
  </si>
  <si>
    <t>The Quad was formed in November last year to patrol and exert influence on waterways in the Indian and Pacific oceans and the East and South China seas.Watch: ...</t>
  </si>
  <si>
    <t>https://www.scmp.com/news/china/diplomacy/article/2169715/us-led-quad-coalition-useful-anti-china-bulwark-asia</t>
  </si>
  <si>
    <t>Oct 23, 2018</t>
  </si>
  <si>
    <t>South China Sea is Beijing's top foreign policy priority with ...</t>
  </si>
  <si>
    <t>In 2017 China's trade with Asean was US$514 billion, with Vietnam, Malaysia and Thailand being its biggest trading partners, according to official figures from ...</t>
  </si>
  <si>
    <t>https://www.scmp.com/news/china/diplomacy/article/2169002/south-china-sea-beijings-top-foreign-policy-priority-us-think</t>
  </si>
  <si>
    <t>Oct 17, 2018</t>
  </si>
  <si>
    <t>Asean and China have moved on ... didn't Vietnam get the ...</t>
  </si>
  <si>
    <t>China claims 80 per cent of the waterway under its nine-dash line maritime boundary. China's nine-dash line covers 80 per cent of the South China Sea. Click ...</t>
  </si>
  <si>
    <t>https://www.scmp.com/week-asia/geopolitics/article/2106469/asean-and-china-have-moved-ondidnt-vietnam-get-memo</t>
  </si>
  <si>
    <t>Aug 13, 2017</t>
  </si>
  <si>
    <t>Which are the key countries in the South China Sea dispute?</t>
  </si>
  <si>
    <t>The overlapping claims of China, Vietnam, the Philippines, Taiwan, Malaysia and Brunei have remained unresolved for decades.</t>
  </si>
  <si>
    <t>https://www.scmp.com/week-asia/article/2186449/explained-south-china-sea-dispute</t>
  </si>
  <si>
    <t>Feb 16, 2019</t>
  </si>
  <si>
    <t>In South China Sea, Asean has a choice: 'Asian values' or ...</t>
  </si>
  <si>
    <t>According to the United Nations, international seaborne trade grew by 4 per cent in 2017 – the fastest in five years. Much of this growth stems from Asia: 4.4 ...</t>
  </si>
  <si>
    <t>https://www.scmp.com/week-asia/geopolitics/article/3011747/south-china-sea-asean-has-choice-asian-values-or-rule-law</t>
  </si>
  <si>
    <t>May 25, 2019</t>
  </si>
  <si>
    <t>Beijing will need more than charm to win over Asean, ...</t>
  </si>
  <si>
    <t>Beijing's leaders have visited nine Asean countries in recent weeks but free-trade deals and financial aid are unlikely to assuage the bloc's deep-rooted ...</t>
  </si>
  <si>
    <t>https://www.scmp.com/news/china/diplomacy/article/3105928/south-china-sea-beijing-will-need-more-charm-win-over-asean</t>
  </si>
  <si>
    <t/>
  </si>
  <si>
    <t>Beijing and Asean's long-awaited South China Sea code of ...</t>
  </si>
  <si>
    <t>Beijing and Asean's long-awaited South China Sea code of conduct inches forward. Resumed negotiations lead to progress after talks on the long-awaited code were ...</t>
  </si>
  <si>
    <t>https://www.scmp.com/news/china/diplomacy/article/3143742/beijing-and-aseans-long-awaited-south-china-sea-code-conduct</t>
  </si>
  <si>
    <t>Aug 4, 2021</t>
  </si>
  <si>
    <t>Beijing could face Asean's wrath over 'naming and ...</t>
  </si>
  <si>
    <t>China's naming of, and effectively claiming, 80 geographical features in the disputed South China Sea might be a breach of international law, and could trigger ...</t>
  </si>
  <si>
    <t>https://www.scmp.com/news/china/diplomacy/article/3081275/beijing-could-face-aseans-wrath-over-naming-and-claiming-south</t>
  </si>
  <si>
    <t>Apr 25, 2020</t>
  </si>
  <si>
    <t>is the pressure on for Asean countries to choose sides?</t>
  </si>
  <si>
    <t>Recent tensions in the South China Sea, however, have forced some countries to reconsider their positions. Beijing has in recent weeks lined up Chinese vessels ...</t>
  </si>
  <si>
    <t>https://www.scmp.com/week-asia/politics/article/3128986/us-china-rivalry-pressure-asean-countries-choose-sides</t>
  </si>
  <si>
    <t>Apr 10, 2021</t>
  </si>
  <si>
    <t>Are Indonesia, Vietnam and Malaysia about to get tough on ...</t>
  </si>
  <si>
    <t>The Code of Conduct for the South China Sea could be the best chance for Asean nations to short-circuit the spiral of escalatory behaviour and mistrust over the ...</t>
  </si>
  <si>
    <t>https://www.scmp.com/week-asia/politics/article/3046622/are-aseans-big-players-about-get-tough-beijings-south-china-sea</t>
  </si>
  <si>
    <t>Jan 18, 2020</t>
  </si>
  <si>
    <t>Russia romances Southeast Asia with trade and arms, but ...</t>
  </si>
  <si>
    <t>Russian overtures have been welcomed by Southeast Asia amid trade war uncertainties and disputes in the South China Sea. But even in embracing Moscow, ...</t>
  </si>
  <si>
    <t>https://www.scmp.com/week-asia/politics/article/3032568/russia-romances-southeast-asia-trade-and-arms-its-no-match-china</t>
  </si>
  <si>
    <t>--</t>
  </si>
  <si>
    <t>China's Li Qiang vows 'practical' cooperation with Asean in ...</t>
  </si>
  <si>
    <t>China and Asean renew agreement to develop code of conduct for South China Sea ... China-Asean bilateral trade grew from US$641.5 billion in 2019 to US ...</t>
  </si>
  <si>
    <t>https://www.scmp.com/news/china/diplomacy/article/3234839/chinas-li-qiang-vows-practical-cooperation-asean-bid-reassure-region-amid-maritime-disputes-us</t>
  </si>
  <si>
    <t>Sep 17, 2023</t>
  </si>
  <si>
    <t>China eyes Asean trade ties, but members fear ' ...</t>
  </si>
  <si>
    <t>A rush by many Chinese firms to set up factories close to Asean countries is seen reflecting a new reality of labour-intensive manufacturers moving to ...</t>
  </si>
  <si>
    <t>https://www.scmp.com/economy/china-economy/article/3227769/china-eyes-asean-trade-ties-members-fear-geopolitical-trap-us-also-seeks-regional-influence</t>
  </si>
  <si>
    <t>Beijing, Asean claimant states risk pushing beyond 'grey ...</t>
  </si>
  <si>
    <t>China is expected to keep tensions simmering within the 'grey zone' to stake its claims to the disputed waterway, but analysts say this entails the risk of ...</t>
  </si>
  <si>
    <t>https://www.scmp.com/week-asia/politics/article/3246702/south-china-sea-beijing-asean-claimant-states-risk-pushing-beyond-grey-zone-between-peace-and-war</t>
  </si>
  <si>
    <t>China to widen Asean trade with first major waterway in ...</t>
  </si>
  <si>
    <t>China kicked off construction of the Pinglu Canal in August, and it is hoped that the waterway can facilitate trade with Southeast Asian nations, ...</t>
  </si>
  <si>
    <t>https://www.scmp.com/economy/china-economy/article/3228524/china-widen-asean-trade-first-major-waterway-700-years-will-pinglu-canal-be-game-changer-or-white</t>
  </si>
  <si>
    <t>New Chinese trade zones for Philippines, Indonesia to ...</t>
  </si>
  <si>
    <t>Asean has been China's largest trading partner since 2020, partly as a result of Beijing's efforts to diversify exports to offset trade pressure from the US.</t>
  </si>
  <si>
    <t>https://www.scmp.com/news/china/diplomacy/article/3210193/new-chinese-trade-zones-philippines-indonesia-showcase-asean-bridge-and-bond</t>
  </si>
  <si>
    <t>Feb 14, 2023</t>
  </si>
  <si>
    <t>China pushes 'pivot to South and Southeast Asia' with ...</t>
  </si>
  <si>
    <t>Last year, China's trade with Asean was US$975.3 billion – up from US$641.5 billion in 2019 – which is a 24-fold increase since 2000, according to customs data.</t>
  </si>
  <si>
    <t>https://www.scmp.com/economy/china-economy/article/3236219/china-pushes-pivot-south-and-southeast-asia-yunnan-province-gateway-vast-market</t>
  </si>
  <si>
    <t>Sep 29, 2023</t>
  </si>
  <si>
    <t>Is Beijing warming to South China Sea code of conduct?</t>
  </si>
  <si>
    <t>Tensions with the US and a stronger negotiating position after years of reclamation are likely to be driving Beijing's renewed enthusiasm.</t>
  </si>
  <si>
    <t>https://www.scmp.com/news/china/diplomacy/article/3245375/beijing-warming-south-china-sea-code-conduct</t>
  </si>
  <si>
    <t>South China Sea: Beijing pushes for code of conduct talks, ...</t>
  </si>
  <si>
    <t>Five bilateral memorandums of understanding were signed during Anwar's visit to Beijing, involving trade and economic relations, food security and agriculture.</t>
  </si>
  <si>
    <t>https://www.scmp.com/news/china/diplomacy/article/3215750/south-china-sea-china-pushes-code-conduct-talks-pledges-deeper-malaysia-asean-ties</t>
  </si>
  <si>
    <t>Apr 2, 2023</t>
  </si>
  <si>
    <t>Japan, Asean summit to advance 'security cooperation' ...</t>
  </si>
  <si>
    <t>Japan, Asean summit to advance 'security cooperation' amid growing South China Sea tension ... China claims almost the entire waterway, a vital trade ...</t>
  </si>
  <si>
    <t>https://www.scmp.com/news/asia/east-asia/article/3245319/japan-asean-summit-advance-security-cooperation-amid-growing-south-china-sea-tension</t>
  </si>
  <si>
    <t>Dec 16, 2023</t>
  </si>
  <si>
    <t>Asean to hold first joint military drills amid rising ...</t>
  </si>
  <si>
    <t>Asean members Vietnam, the Philippines, Brunei and Malaysia have competing claims with China, which asserts sovereignty over vast stretches of the waterway.</t>
  </si>
  <si>
    <t>https://www.scmp.com/news/asia/southeast-asia/article/3223411/south-china-sea-asean-hold-first-joint-military-drills-amid-rising-china-tensions</t>
  </si>
  <si>
    <t>Philippines asks Malaysia, Vietnam for 'our own' code of ...</t>
  </si>
  <si>
    <t>South China Sea: Philippines asks Malaysia, Vietnam for 'our own' code of ... In the past few years, Asean and China have worked towards creating a ...</t>
  </si>
  <si>
    <t>https://www.scmp.com/news/asia/southeast-asia/article/3242134/south-china-sea-philippines-asks-malaysia-vietnam-our-own-code-conduct-amid-slow-progress-beijing</t>
  </si>
  <si>
    <t>Nov 20, 2023</t>
  </si>
  <si>
    <t>openness encouraged to shore up marine economy after ...</t>
  </si>
  <si>
    <t>As China looks to shore up its marine economy and turn the tide with Southeast Asian countries after several heated disputes in the South China Sea, ...</t>
  </si>
  <si>
    <t>https://www.scmp.com/economy/china-economy/article/3242984/south-china-sea-openness-encouraged-shore-marine-economy-after-disputes-threaten-capsize-relations</t>
  </si>
  <si>
    <t>Asean will engage with both China and US, secretary ...</t>
  </si>
  <si>
    <t>Southeast Asian bloc should not let South China Sea disputes overshadow long-prosperous ties with China, Kim tells Hong Kong forum attended by several Asean ...</t>
  </si>
  <si>
    <t>https://www.scmp.com/news/china/diplomacy/article/3234580/asean-will-engage-both-china-and-us-secretary-general-kao-kim-hourn-says-call-dial-down-major-power</t>
  </si>
  <si>
    <t>Japan's bid to elevate Asean ties will offer region 'options' ...</t>
  </si>
  <si>
    <t>China and Asean renew agreement to develop code of conduct for South China Sea ... China for trade, investments and diplomatic support. Last month, China's ...</t>
  </si>
  <si>
    <t>https://www.scmp.com/week-asia/politics/article/3243891/japans-bid-elevate-asean-ties-will-offer-region-options-amid-growing-chinese-influence</t>
  </si>
  <si>
    <t>Dec 5, 2023</t>
  </si>
  <si>
    <t>Chinese Premier Li Qiang urges Asean, Japan, ...</t>
  </si>
  <si>
    <t>... trade pact. Speaking in Jakarta on Wednesday, Li said Asean, China, Japan and South Korea should promote regional economic integration together. “I hope all ...</t>
  </si>
  <si>
    <t>https://www.scmp.com/news/china/diplomacy/article/3233624/chinas-li-qiang-urges-asean-japan-and-south-korea-oppose-new-cold-war-amid-growing-us-rivalry</t>
  </si>
  <si>
    <t>Sep 6, 2023</t>
  </si>
  <si>
    <t>Will Cambodia's concerns of 'rocking China boat' affect ...</t>
  </si>
  <si>
    <t>September exercises in contested South China Sea will look at maritime security and be the first time the Southeast Asian bloc has held them.</t>
  </si>
  <si>
    <t>https://www.scmp.com/week-asia/politics/article/3224917/will-cambodias-concerns-rocking-china-boat-affect-asean-unity-over-naval-drills</t>
  </si>
  <si>
    <t>https://www.removepaywall.com/</t>
  </si>
  <si>
    <t>Column2</t>
  </si>
  <si>
    <t>TPP vital not just economically but strategically: Lee Hsien ...</t>
  </si>
  <si>
    <t>So Asean-China relations are multifaceted, and the South China Sea is one (aspect of them). We will have to try our best to make sure it does not color the ...</t>
  </si>
  <si>
    <t>https://asia.nikkei.com/Economy/TPP-vital-not-just-economically-but-strategically-Lee-Hsien-Loong</t>
  </si>
  <si>
    <t>May 20, 2014</t>
  </si>
  <si>
    <t>Look of new Asian order still anyone's guess, says ex- ...</t>
  </si>
  <si>
    <t>A: Southeast Asian countries would like to have best possible relationships with all major powers -- Japan, China, the U.S., Australia, India, [South] Korea, ...</t>
  </si>
  <si>
    <t>https://asia.nikkei.com/Politics/Look-of-new-Asian-order-still-anyone-s-guess-says-ex-diplomat</t>
  </si>
  <si>
    <t>Mar 11, 2015</t>
  </si>
  <si>
    <t>Amid Cambodia-Vietnam border tensions, a 'special' ...</t>
  </si>
  <si>
    <t>Over the past decade, China has slowly risen to become Cambodia's chief international patron, offering hundreds of millions of dollars in loans and investments ...</t>
  </si>
  <si>
    <t>https://asia.nikkei.com/Politics/Amid-Cambodia-Vietnam-border-tensions-a-special-relationship-evolves</t>
  </si>
  <si>
    <t>Jul 30, 2015</t>
  </si>
  <si>
    <t>Calls for Kra Isthmus shortcut grow in Thailand</t>
  </si>
  <si>
    <t>The creation of the AEC is certain to expand trade in the region, and building a transport shortcut linking the Andaman Sea with the Gulf of Thailand would help ...</t>
  </si>
  <si>
    <t>https://asia.nikkei.com/Politics/Calls-for-Kra-Isthmus-shortcut-grow-in-Thailand</t>
  </si>
  <si>
    <t>Dec 2, 2015</t>
  </si>
  <si>
    <t>Former foes US, Vietnam move closer on defense</t>
  </si>
  <si>
    <t>From May to July, Vietnamese and Chinese ships were locked in a standoff around an oil rig in the South China Sea. It was put there by China amid Vietnamese ...</t>
  </si>
  <si>
    <t>https://asia.nikkei.com/Politics/Former-foes-US-Vietnam-move-closer-on-defense</t>
  </si>
  <si>
    <t>Aug 15, 2014</t>
  </si>
  <si>
    <t>Aviation tycoon Susi makes a splash in maritime affairs</t>
  </si>
  <si>
    <t>She made herself wealthy and gave many of them a better livelihood by buying their fish and processing it at a modern facility she built in her home town of ...</t>
  </si>
  <si>
    <t>https://asia.nikkei.com/NAR/Articles/Aviation-tycoon-Susi-makes-a-splash-in-maritime-affairs</t>
  </si>
  <si>
    <t>Sri Lanka more prepared a decade after devastation</t>
  </si>
  <si>
    <t>MARUTHAMUNAI, Sri Lanka -- People across Asia held ceremonies on Friday to mark 10 years since the Indian Ocean tsunami, the region's worst modern nat.</t>
  </si>
  <si>
    <t>https://asia.nikkei.com/NAR/Articles/Sri-Lanka-more-prepared-a-decade-after-devastation</t>
  </si>
  <si>
    <t>Japanese pioneer develops 'unagi' empire in Indonesia</t>
  </si>
  <si>
    <t>Japanese entrepreneur Hisayasu Ishitani, a chain smoking 72-year-old now in his fifth decade in Indonesia, the local waters mean a plentiful supply of eel.</t>
  </si>
  <si>
    <t>https://asia.nikkei.com/Business/Japanese-pioneer-develops-unagi-empire-in-Indonesia</t>
  </si>
  <si>
    <t>To survive another 50 years, ASEAN must learn from its past</t>
  </si>
  <si>
    <t>As with the South China Sea, China offers its own rules for the Mekong, via ... Intra-ASEAN trade has hovered around 25% for the past two decades, with ...</t>
  </si>
  <si>
    <t>https://asia.nikkei.com/Spotlight/Asean-at-50/To-survive-another-50-years-ASEAN-must-learn-from-its-past2</t>
  </si>
  <si>
    <t>Aug 4, 2017</t>
  </si>
  <si>
    <t>Vietnam and Russia expand joint South China Sea gas ...</t>
  </si>
  <si>
    <t>The South China Sea is rich in natural resources, such as oil and gas, and has become an arena of competition for China, Vietnam, the Philippines and others. In ...</t>
  </si>
  <si>
    <t>https://asia.nikkei.com/Politics/Vietnam-and-Russia-expand-joint-South-China-Sea-gas-projects</t>
  </si>
  <si>
    <t>Nov 30, 2018</t>
  </si>
  <si>
    <t>How Beijing is winning control of the South China Sea</t>
  </si>
  <si>
    <t>“What China is winning is de facto control of nearly the entire South China Sea, including all activities and resources in it.</t>
  </si>
  <si>
    <t>https://asia.nikkei.com/Spotlight/The-Big-Story/How-Beijing-is-winning-control-of-the-South-China-Sea</t>
  </si>
  <si>
    <t>Jun 13, 2018</t>
  </si>
  <si>
    <t>'ASEAN way' confronts new realities of US, Chinese power</t>
  </si>
  <si>
    <t>ASEAN members hope the US will continue to play the role of counterbalance against China's growing influence in the region.</t>
  </si>
  <si>
    <t>https://asia.nikkei.com/Politics/ASEAN-way-confronts-new-realities-of-US-Chinese-power</t>
  </si>
  <si>
    <t>Nov 14, 2017</t>
  </si>
  <si>
    <t>Southeast Asian ports thirst for more seaborne trade</t>
  </si>
  <si>
    <t>Southeast Asia's total trade rose by nearly 50% between 2004 and 2014, but the combined container port throughput of Indonesia and the Philippines was around a ...</t>
  </si>
  <si>
    <t>https://asia.nikkei.com/Economy/Southeast-Asian-ports-thirst-for-more-seaborne-trade</t>
  </si>
  <si>
    <t>Sep 7, 2017</t>
  </si>
  <si>
    <t>ASEAN is coming together -- slowly</t>
  </si>
  <si>
    <t>But the AIIB is struggling to overcome perceptions that it is a strategic tool of its biggest shareholder, China, which is also ASEAN's biggest trade partner.</t>
  </si>
  <si>
    <t>https://asia.nikkei.com/Economy/ASEAN-is-coming-together-slowly</t>
  </si>
  <si>
    <t>Sep 1, 2016</t>
  </si>
  <si>
    <t>Abe softens tone on Indo-Pacific to coax China's ASEAN ...</t>
  </si>
  <si>
    <t>Beijing seeks to block outsiders from drilling in South China Sea · International relations · ASEAN reiterates 'concern' over South China Sea in draft statement.</t>
  </si>
  <si>
    <t>https://asia.nikkei.com/Politics/International-relations/Abe-softens-tone-on-Indo-Pacific-to-coax-China-s-ASEAN-friends</t>
  </si>
  <si>
    <t>Nov 13, 2018</t>
  </si>
  <si>
    <t>Moe Thuzar -- To remain relevant, ASEAN needs a ...</t>
  </si>
  <si>
    <t>Overall, ASEAN's ability to manage and mediate South China Sea tensions continues to be a dominant concern, as the dynamics of bilateral and regional interests ...</t>
  </si>
  <si>
    <t>https://asia.nikkei.com/Economy/Moe-Thuzar-To-remain-relevant-ASEAN-needs-a-stronger-nerve-center</t>
  </si>
  <si>
    <t>Sep 3, 2016</t>
  </si>
  <si>
    <t>Singapore walks a tightrope between China, US</t>
  </si>
  <si>
    <t>Economic considerations were apparently also the reason Singapore refrained from criticizing China over the South China Sea issue during the ASEAN foreign ...</t>
  </si>
  <si>
    <t>https://asia.nikkei.com/Economy/Singapore-walks-a-tightrope-between-China-US</t>
  </si>
  <si>
    <t>Aug 31, 2017</t>
  </si>
  <si>
    <t>East Asia Summit statement seeks to balance US and China</t>
  </si>
  <si>
    <t>A draft version of the chair's statement for this week's East Asia Summit reflects members' varying stances toward the US and China.</t>
  </si>
  <si>
    <t>https://asia.nikkei.com/Politics/International-relations/East-Asia-Summit-statement-seeks-to-balance-US-and-China</t>
  </si>
  <si>
    <t>Xi courts ASEAN at summit as Duterte hits out over South ...</t>
  </si>
  <si>
    <t>From ASEAN's perspective, more robust economic ties with China, including trade and travel, would help accelerate the recovery from COVID-19. Chong said the ...</t>
  </si>
  <si>
    <t>https://asia.nikkei.com/Politics/International-relations/Xi-courts-ASEAN-at-summit-as-Duterte-hits-out-over-South-China-Sea</t>
  </si>
  <si>
    <t>Nov 22, 2021</t>
  </si>
  <si>
    <t>Vietnam stresses South China Sea security issues at ...</t>
  </si>
  <si>
    <t>While the South China Sea is among top issues to be discussed at the meetings, regional responses to the COVID-19 pandemic have also emerged as a key agenda ...</t>
  </si>
  <si>
    <t>https://asia.nikkei.com/Politics/International-relations/South-China-Sea/Vietnam-stresses-South-China-Sea-security-issues-at-ASEAN-meeting</t>
  </si>
  <si>
    <t>Sep 9, 2020</t>
  </si>
  <si>
    <t>China tightens ASEAN grip while US looks inward</t>
  </si>
  <si>
    <t>In the first three quarters, China-ASEAN trade reached 481.81 billion US ... China in the South China Sea. Li on Thursday called on ASEAN leaders to ...</t>
  </si>
  <si>
    <t>https://asia.nikkei.com/Politics/International-relations/China-tightens-ASEAN-grip-while-US-looks-inward2</t>
  </si>
  <si>
    <t>Nov 14, 2020</t>
  </si>
  <si>
    <t>7 of 10 ASEAN members favor China over US: survey</t>
  </si>
  <si>
    <t>China was given the nod by the majority of respondents from seven of the 10 ASEAN countries, with 69% from Brunei favoring the country.</t>
  </si>
  <si>
    <t>https://asia.nikkei.com/Politics/International-relations/7-of-10-ASEAN-members-favor-China-over-US-survey</t>
  </si>
  <si>
    <t>Jan 16, 2020</t>
  </si>
  <si>
    <t>Beijing-friendly Cambodia and Laos pushed out to ...</t>
  </si>
  <si>
    <t>Cambodia in 2012 took unprecedented action against its fellow ASEAN members by scuttling a joint statement that conflicted with Beijing's position.</t>
  </si>
  <si>
    <t>https://asia.nikkei.com/Politics/International-relations/Beijing-friendly-Cambodia-and-Laos-pushed-out-to-ASEAN-s-fringe2</t>
  </si>
  <si>
    <t>Nov 13, 2020</t>
  </si>
  <si>
    <t>ASEAN defends its Indo-Pacific 'centrality' between Quad ...</t>
  </si>
  <si>
    <t>At the same time, Beijing continues to assert itself in the South China Sea, a crucial waterway for global trade where it has overlapping claims with several ...</t>
  </si>
  <si>
    <t>https://asia.nikkei.com/Spotlight/Asia-Insight/ASEAN-defends-its-Indo-Pacific-centrality-between-Quad-and-China</t>
  </si>
  <si>
    <t>Jun 22, 2021</t>
  </si>
  <si>
    <t>China promises to raise imports from ASEAN ahead of new ...</t>
  </si>
  <si>
    <t>Chinese trade with the 10 members of the Association of Southeast Asian Nations grew 38% to $410.7 billion in the first six month of 2021 from a year before, ...</t>
  </si>
  <si>
    <t>https://asia.nikkei.com/Spotlight/Belt-and-Road/China-promises-to-raise-imports-from-ASEAN-ahead-of-new-rail-link</t>
  </si>
  <si>
    <t>Sep 10, 2021</t>
  </si>
  <si>
    <t>China's ASEAN diplomacy pushes back against US ' ...</t>
  </si>
  <si>
    <t>China is backing the Association of Southeast Asian Nations' efforts to solve the Myanmar crisis and shoring up ties with its neighbors.</t>
  </si>
  <si>
    <t>https://asia.nikkei.com/Politics/International-relations/China-s-ASEAN-diplomacy-pushes-back-against-US-encirclement</t>
  </si>
  <si>
    <t>Apr 2, 2021</t>
  </si>
  <si>
    <t>Japan promises to diversify supply chains across ASEAN</t>
  </si>
  <si>
    <t>ASEAN trade data for the past 10 years shows sharply increased reliance on China. ... China claims most of the South China Sea as its territory, creating ...</t>
  </si>
  <si>
    <t>https://asia.nikkei.com/Politics/International-relations/Japan-promises-to-diversify-supply-chains-across-ASEAN</t>
  </si>
  <si>
    <t>Oct 20, 2020</t>
  </si>
  <si>
    <t>ASEAN and China aim for South China Sea 'hotline' trial in ...</t>
  </si>
  <si>
    <t>The South China Sea, which is crucial for international trade connecting Asia, the Middle East and Europe, has been at risk of turning into a proxy battlefield ...</t>
  </si>
  <si>
    <t>https://asia.nikkei.com/Politics/International-relations/South-China-Sea/ASEAN-and-China-aim-for-South-China-Sea-hotline-trial-in-2023</t>
  </si>
  <si>
    <t>Mar 10, 2023</t>
  </si>
  <si>
    <t>Philippines' Marcos muscles up ASEAN's South China Sea ...</t>
  </si>
  <si>
    <t>ASEAN states Brunei, Malaysia and Vietnam also lay claims to parts of the waterway, through which around $3 trillion worth of trade passes annually. Marcos' ...</t>
  </si>
  <si>
    <t>https://asia.nikkei.com/Spotlight/Asia-Insight/Philippines-Marcos-muscles-up-ASEAN-s-South-China-Sea-posture</t>
  </si>
  <si>
    <t>May 9, 2023</t>
  </si>
  <si>
    <t>ASEAN leaders meet Chinese Premier Li amid map ...</t>
  </si>
  <si>
    <t>China has overlapping claims with several Southeast Asian countries in the waters, which hold rich fishing grounds and have become a crucial trade route. Li, ...</t>
  </si>
  <si>
    <t>https://asia.nikkei.com/Politics/International-relations/South-China-Sea/ASEAN-leaders-meet-Chinese-Premier-Li-amid-map-controversy</t>
  </si>
  <si>
    <t>ASEAN-led defense talks reaffirm norms for South China Sea</t>
  </si>
  <si>
    <t>Defense chiefs from Southeast Asia and beyond called for respecting international rules to prevent maritime clashes in a joint declaration released Wednesday.</t>
  </si>
  <si>
    <t>https://asia.nikkei.com/Politics/International-relations/South-China-Sea/ASEAN-led-defense-talks-reaffirm-norms-for-South-China-Sea</t>
  </si>
  <si>
    <t>China vows to boost Southeast Asia imports as growth slows</t>
  </si>
  <si>
    <t>ASEAN's trade deficit with China widened by 69% in the five years through 2022. The imbalance was on display at the Sunday expo, with large numbers of Southeast ...</t>
  </si>
  <si>
    <t>https://asia.nikkei.com/Economy/Trade/China-vows-to-boost-Southeast-Asia-imports-as-growth-slows</t>
  </si>
  <si>
    <t>Sep 18, 2023</t>
  </si>
  <si>
    <t>ASEAN to stay priority for China's BRI investment despite ...</t>
  </si>
  <si>
    <t>Despite slowing growth at home, Southeast Asia will remain an investment priority for China and a core target for its Belt and Road Initiative (BRI).</t>
  </si>
  <si>
    <t>https://asia.nikkei.com/Spotlight/Belt-and-Road/ASEAN-to-stay-priority-for-China-s-BRI-investment-despite-slowdown</t>
  </si>
  <si>
    <t>Sep 21, 2023</t>
  </si>
  <si>
    <t>China deepens ties with ASEAN as Biden skips Jakarta ...</t>
  </si>
  <si>
    <t>JAKARTA -- China is forging new economic ties with the Association of Southeast Asian Nations, while U.S. President Joe Biden's absence from the gathering ...</t>
  </si>
  <si>
    <t>https://asia.nikkei.com/Politics/International-relations/US-China-tensions/China-deepens-ties-with-ASEAN-as-Biden-skips-Jakarta-summits</t>
  </si>
  <si>
    <t>Sep 7, 2023</t>
  </si>
  <si>
    <t>ASEAN urges cool heads on South China Sea as summit ...</t>
  </si>
  <si>
    <t>Beijing claims much of the resource-rich waterway and key trade route, despite a 2016 international arbitration ruling that invalidated its arguments.</t>
  </si>
  <si>
    <t>https://asia.nikkei.com/Politics/International-relations/ASEAN-urges-cool-heads-on-South-China-Sea-as-summit-ends</t>
  </si>
  <si>
    <t>May 11, 2023</t>
  </si>
  <si>
    <t>China's massive new canal aims for closer ASEAN ...</t>
  </si>
  <si>
    <t>China and ASEAN need “cooperation to blunt the sharpness of their territorial disagreements” · “Tax clearance has been cut from three days to just one-to-two ...</t>
  </si>
  <si>
    <t>https://asia.nikkei.com/Spotlight/Asia-Insight/China-s-massive-new-canal-aims-for-closer-ASEAN-connectivity</t>
  </si>
  <si>
    <t>May 30, 2023</t>
  </si>
  <si>
    <t>Vietnam said to plan military buildup on South China Sea ...</t>
  </si>
  <si>
    <t>MANILA/HANOI -- Vietnam reportedly plans to fortify its military presence on the Spratly Islands in the South China Sea, where it is locked in territorial ...</t>
  </si>
  <si>
    <t>https://asia.nikkei.com/Politics/International-relations/South-China-Sea/Vietnam-said-to-plan-military-buildup-on-South-China-Sea-footholds</t>
  </si>
  <si>
    <t>Aug 19, 2023</t>
  </si>
  <si>
    <t>ASEAN courts Africa amid China slowdown: business ...</t>
  </si>
  <si>
    <t>... trade ties with the world's second-largest economy. But at the same time, he ... ASEAN troops launch maritime drills amid South China Sea tension · ASEAN ...</t>
  </si>
  <si>
    <t>https://asia.nikkei.com/Business/Business-trends/ASEAN-courts-Africa-amid-China-slowdown-business-council-chief2</t>
  </si>
  <si>
    <t>Sep 26, 2023</t>
  </si>
  <si>
    <t>Blinken says U.S. still committed to freedom in South China ...</t>
  </si>
  <si>
    <t>The U.S. and China are at odds over multiple issues, including trade tensions, Beijing's assertiveness in the South China Sea, the mounting pressure it is ...</t>
  </si>
  <si>
    <t>https://asia.nikkei.com/Politics/International-relations/Blinken-says-U.S.-still-committed-to-freedom-in-South-China-Sea</t>
  </si>
  <si>
    <t>Jul 15, 2023</t>
  </si>
  <si>
    <t>China's durian boom sparks ASEAN alarm over mega ...</t>
  </si>
  <si>
    <t>China belongs to the framework, along with 10 Southeast Asian states, Japan, South Korea, Australia and New Zealand. The city of Xishuangbanna in China's Yunnan ...</t>
  </si>
  <si>
    <t>https://asia.nikkei.com/Economy/Trade/China-s-durian-boom-sparks-ASEAN-alarm-over-mega-trade-deal</t>
  </si>
  <si>
    <t>Aug 28, 2022</t>
  </si>
  <si>
    <t>China's grip on Southeast Asia tightens as U.S. influence ...</t>
  </si>
  <si>
    <t>... trade and skirmishes and, sometimes, war -- on land and at sea. Yet the ... "We approach China in the 'ASEAN way.' In other words, we don't make any ...</t>
  </si>
  <si>
    <t>https://asia.nikkei.com/Spotlight/The-Big-Story/China-s-grip-on-Southeast-Asia-tightens-as-U.S.-influence-wanes</t>
  </si>
  <si>
    <t>Aug 16, 2023</t>
  </si>
  <si>
    <t>South China Sea brims with rare earth and renewable ...</t>
  </si>
  <si>
    <t>Vietnam, the Philippines, Malaysia and China have conflicting claims to the South China Sea. The latter two countries are leaders in rare-earth refining, ...</t>
  </si>
  <si>
    <t>https://asia.nikkei.com/Politics/International-relations/South-China-Sea/South-China-Sea-brims-with-rare-earth-and-renewable-power-promise</t>
  </si>
  <si>
    <t>Nov 3, 2023</t>
  </si>
  <si>
    <t>Freedom of navigation key to S'pore: Shanmugam</t>
  </si>
  <si>
    <t>Freedom of navigation on the high seas is an economically existential issue for Singapore, as trade flow is vital to the country's existence as a sovereign ...</t>
  </si>
  <si>
    <t>https://www.straitstimes.com/singapore/freedom-of-navigation-key-to-spore-shanmugam</t>
  </si>
  <si>
    <t>Mar 5, 2015</t>
  </si>
  <si>
    <t>Latest SE Asia News &amp; Headlines, Top Stories Today</t>
  </si>
  <si>
    <t>The Philippines, China trade accusations over South China Sea encounter. Apr 6, 2024, 6:43 pm. Unsold food from Malaysia's Ramadan bazaars being delivered to ...</t>
  </si>
  <si>
    <t>https://www.straitstimes.com/asia/se-asia?query=economy&amp;page=124</t>
  </si>
  <si>
    <t>Apr 30, 2015</t>
  </si>
  <si>
    <t>President Tony Tan Keng Yam meets top Chinese leaders ...</t>
  </si>
  <si>
    <t>Singapore's President Tony Tan Keng Yam and Chinese President Xi Jinping agreed to work towards an upgrade of the China-Singapore Free Trade Agreement (FTA).</t>
  </si>
  <si>
    <t>https://www.straitstimes.com/asia/east-asia/president-tony-tan-keng-yam-meets-top-chinese-leaders-during-state-visit</t>
  </si>
  <si>
    <t>Jul 3, 2015</t>
  </si>
  <si>
    <t>Slower pace of life comes with trade-off, says Shanmugam</t>
  </si>
  <si>
    <t>Already, through free trade negotiations, Asean countries have done away with three-quarters of tariffs on intra-Asean trade. If Singapore maintained the ...</t>
  </si>
  <si>
    <t>https://www.straitstimes.com/singapore/slower-pace-of-life-comes-with-trade-off-says-shanmugam</t>
  </si>
  <si>
    <t>Jul 13, 2013</t>
  </si>
  <si>
    <t>Latest Australia/NZ News &amp; Headlines, Top Stories Today</t>
  </si>
  <si>
    <t>Australia/NZ. Good progress on lifting Chinese trade restrictions on wine ... Australia and Asean call for restraint in South China Sea, ceasefire in Gaza.</t>
  </si>
  <si>
    <t>https://www.straitstimes.com/asia/australianz?_nei=2f64b303-c4c0-49bc-a3ac-383794af08ef&amp;page=29</t>
  </si>
  <si>
    <t>Latest Philippines</t>
  </si>
  <si>
    <t>Latest. Philippines, China trade accusations over South China Sea collision. Dec 10, 2023, 10:46 am. Asean strongly condemns 'heinous terrorist attack' in ...</t>
  </si>
  <si>
    <t>https://www.straitstimes.com/tags/philippines?ref=article-bottom&amp;page=44</t>
  </si>
  <si>
    <t>FOREWORD - In 1997, Lee Kuan Yew: The Man</t>
  </si>
  <si>
    <t>the trade unions and had set out to capture the PAP itself. A dramatic ... the Indian Ocean and the South China Sea, the great powers are prepared to ...</t>
  </si>
  <si>
    <t>https://graphics.straitstimes.com/STI/STIMEDIA/ebooks/LKY_The_Man_And_His_Ideas.pdf</t>
  </si>
  <si>
    <t>Mar 23, 2015</t>
  </si>
  <si>
    <t>August 9, 2015</t>
  </si>
  <si>
    <t>Take trade cooperation, for instance. We are each other's second largest trading partner after China. In 2014, Singapore was Malaysia's second largest ...</t>
  </si>
  <si>
    <t>https://graphics.straitstimes.com/STI/STIMEDIA/ebooks/HomeSG50.pdf</t>
  </si>
  <si>
    <t>Aug 9, 2015</t>
  </si>
  <si>
    <t>Final journey through Singapore for Mr Lee today</t>
  </si>
  <si>
    <t>Every Asean head of govern- ment or state is also here, with the exception ... China is sending Vice-Presi- dent Li Yuanchao to attend today's funeral ...</t>
  </si>
  <si>
    <t>https://graphics.straitstimes.com/STI/STIMEDIA/2015/lky-8day-coverage/docs/29.pdf</t>
  </si>
  <si>
    <t>Mar 29, 2015</t>
  </si>
  <si>
    <t>Singapore's First Unesco World Heritage Site</t>
  </si>
  <si>
    <t>first director Henry Ridley – the man behind South-east. Asia's successful rubber trade industry – in the trash. ... in Fujian, China. Meanwhile, Qiu's wife ...</t>
  </si>
  <si>
    <t>https://graphics.straitstimes.com/STI/STIMEDIA/ebooks/Historic_Gardens.pdf</t>
  </si>
  <si>
    <t>Aug 7, 2015</t>
  </si>
  <si>
    <t>Hishammuddin keeps an eye on the big picture: The Star</t>
  </si>
  <si>
    <t>... Trade Centre. It was not a heart attack as most people thought ... He had asked the Chinese general what China's intentions were in the South China Sea.</t>
  </si>
  <si>
    <t>https://www.straitstimes.com/asia/se-asia/hishammuddin-keeps-an-eye-on-the-big-picture-the-star</t>
  </si>
  <si>
    <t>Nov 30, 2015</t>
  </si>
  <si>
    <t>LEE KUAN YEW</t>
  </si>
  <si>
    <t>for Asean. LKY was a Singaporean who knew Indonesia the best,” he said ... China. He understood, perhaps before anyone else outside China, and perhaps.</t>
  </si>
  <si>
    <t>https://graphics.straitstimes.com/STI/STIMEDIA/2015/lky-8day-coverage/docs/24.pdf</t>
  </si>
  <si>
    <t>Mar 24, 2015</t>
  </si>
  <si>
    <t>What you need to know about South China Sea disputes</t>
  </si>
  <si>
    <t>The South China Sea is one of the most hotly contested areas in the world, with six parties staking claims on overlapping territories.</t>
  </si>
  <si>
    <t>https://www.straitstimes.com/asia/east-asia/what-you-need-to-know-about-south-china-sea-disputes</t>
  </si>
  <si>
    <t>Feb 24, 2016</t>
  </si>
  <si>
    <t>Asean will not be put in position to pick between world ...</t>
  </si>
  <si>
    <t>Asean will still want consensus to be able to work with individual countries whether for trade or security." While the conference saw defence chiefs tussle over ...</t>
  </si>
  <si>
    <t>https://www.straitstimes.com/singapore/asean-will-not-be-put-in-position-to-pick-between-world-powers-ng-eng-hen</t>
  </si>
  <si>
    <t>Jun 3, 2018</t>
  </si>
  <si>
    <t>Leaders of Asean, China, Japan and South Korea call for ...</t>
  </si>
  <si>
    <t>Leaders of Asean, China, Japan and South Korea call for closer economic integration · Working together on cruise tourism, digital economy · Regional security key ...</t>
  </si>
  <si>
    <t>https://www.straitstimes.com/asia/leaders-of-asean-china-japan-and-south-korea-call-for-closer-economic-integration</t>
  </si>
  <si>
    <t>Countries should not underestimate legality of Beijing's ...</t>
  </si>
  <si>
    <t>Four Southeast Asian countries are in a tussle with China over parts of the South China Sea - namely Vietnam, Philippines, Malaysia and Brunei.</t>
  </si>
  <si>
    <t>https://www.straitstimes.com/asia/se-asia/countries-should-not-underestimate-legality-of-beijings-south-china-sea-arguments</t>
  </si>
  <si>
    <t>Jun 2, 2016</t>
  </si>
  <si>
    <t>China, Asean kick off inaugural maritime field training ...</t>
  </si>
  <si>
    <t>Eight ships kicked off the first Asean-China Maritime Field Training Exercise in Zhanjiang in China's southern Guangdong province on Monday (Oct 22).</t>
  </si>
  <si>
    <t>https://www.straitstimes.com/asia/east-asia/china-asean-kick-off-inaugural-maritime-field-training-exercise-in-zhanjiang</t>
  </si>
  <si>
    <t>Concerned about China's influence, Congressional Asean ...</t>
  </si>
  <si>
    <t>Since that 2016 trip, China "has really stepped up its activities in South-east Asia, trying to dominate the region economically", Mr Castro told The Straits ...</t>
  </si>
  <si>
    <t>https://www.straitstimes.com/world/united-states/concerned-about-chinas-influence-congressional-asean-group-wants-deeper-us-asean</t>
  </si>
  <si>
    <t>Jul 28, 2018</t>
  </si>
  <si>
    <t>'Safe passage' for all in S. China Sea</t>
  </si>
  <si>
    <t>China claims almost all the resource-rich waters of the South China Sea, a major trade artery, and recent militarisation in the area has caused concerns.</t>
  </si>
  <si>
    <t>https://tnp.straitstimes.com/news/world/safe-passage-all-s-china-sea-china</t>
  </si>
  <si>
    <t>Nov 13, 2017</t>
  </si>
  <si>
    <t>China general He Lei slams 'irresponsible comments' on ...</t>
  </si>
  <si>
    <t>Chinese Lieutenant General He Lei lashed out at "irresponsible comments" on Beijing's military build-up in the South China Sea.</t>
  </si>
  <si>
    <t>https://www.straitstimes.com/singapore/china-general-he-lei-slams-irresponsible-comments-on-south-china-sea</t>
  </si>
  <si>
    <t>Jun 2, 2018</t>
  </si>
  <si>
    <t>Asean must find right balance to weather 'grave period' in ...</t>
  </si>
  <si>
    <t>In fact, free trade and economic integration has been a recipe for peace and prosperity in South-east Asia over the last five to seven decades." But Asean ...</t>
  </si>
  <si>
    <t>https://www.straitstimes.com/politics/asean-must-find-right-balance-to-weather-grave-period-in-world-history-vivian-balakrishnan</t>
  </si>
  <si>
    <t>Aug 2, 2018</t>
  </si>
  <si>
    <t>Trump breaks the link as handshake photo op goes awry</t>
  </si>
  <si>
    <t>Calm in South China Sea cannot be taken for granted: Asean · Trump repeats call for fair trade as regional leaders urge closer ties · Asean has to stay united ...</t>
  </si>
  <si>
    <t>https://www.straitstimes.com/asia/se-asia/asean-summit-trump-breaks-the-link-as-handshake-photo-op-goes-awry</t>
  </si>
  <si>
    <t>China will not bully smaller countries, Xi tells Asean leaders</t>
  </si>
  <si>
    <t>Chinese President Xi Jinping has assured South-east Asian leaders that China does not seek hegemony and will not bully its smaller neighbours.</t>
  </si>
  <si>
    <t>https://www.straitstimes.com/asia/east-asia/china-will-not-bully-smaller-countries-xi-tells-asean-leaders</t>
  </si>
  <si>
    <t>Guangxi to strengthen economic cooperation with Asean ...</t>
  </si>
  <si>
    <t>Seven agreements were signed to promote business projects and increase cooperation between companies here and in the region and organisations from Guangxi.</t>
  </si>
  <si>
    <t>https://www.straitstimes.com/business/guangxi-to-strengthen-economic-cooperation-with-asean-and-singapore-businesses</t>
  </si>
  <si>
    <t>Chinese ships intruded into Malaysian waters 89 ...</t>
  </si>
  <si>
    <t>Chinese coast guard and navy ships intruded into Malaysian waters in the disputed South China Sea 89 times between 2016 and 2019.</t>
  </si>
  <si>
    <t>https://www.straitstimes.com/asia/se-asia/chinese-ships-intruded-into-malaysian-waters-89-times-in-four-years-report</t>
  </si>
  <si>
    <t>Jul 14, 2020</t>
  </si>
  <si>
    <t>Shangri-La Dialogue: Chinese Defence Minister Wei says ...</t>
  </si>
  <si>
    <t>Chinese Defence Minister Wei Fenghe on Sunday (June 2) reiterated China's stand on its trade friction with the United States, saying his country's door is open.</t>
  </si>
  <si>
    <t>https://www.straitstimes.com/singapore/shangri-la-dialogue-chinese-defence-minister-wei-fenghe-says-china-ready-to-fight-us-on</t>
  </si>
  <si>
    <t>Jun 2, 2019</t>
  </si>
  <si>
    <t>Retired Singapore diplomat Bilahari Kausikan dismisses ...</t>
  </si>
  <si>
    <t>During the roundtable, Mr Kausikan noted that Asean had for the first time in its history failed to agree on a Joint Communique in 2012, because the then ...</t>
  </si>
  <si>
    <t>https://www.straitstimes.com/singapore/politics/retired-singapore-diplomat-dismisses-claims-by-cambodia-of-being-agent-to-foreign</t>
  </si>
  <si>
    <t>Oct 29, 2020</t>
  </si>
  <si>
    <t>British carrier strike group conducts passage exercise with ...</t>
  </si>
  <si>
    <t>The passage exercise took place in international waters in the southern reaches of the South China Sea, and involved eight ships, including three from Singapore ...</t>
  </si>
  <si>
    <t>https://www.straitstimes.com/singapore/british-carrier-strike-group-conducts-passage-exercise-with-singapore-navy</t>
  </si>
  <si>
    <t>Jul 27, 2021</t>
  </si>
  <si>
    <t>Asean at a crossroads: Jakarta Post contributor</t>
  </si>
  <si>
    <t>The Sino-American relations are increasingly adversarial, with escalating frictions over trade, advanced technology, human rights, and global strategic ...</t>
  </si>
  <si>
    <t>https://www.straitstimes.com/asia/asean-at-a-crossroads-jakarta-post-contributor</t>
  </si>
  <si>
    <t>Oct 28, 2020</t>
  </si>
  <si>
    <t>Trump v Biden: Who's better for Asia?</t>
  </si>
  <si>
    <t>It is not as clear as day who will be better for South-east Asia: Mr Donald Trump or Mr Joe Biden. "There are upsides and downsides," said research fellow ...</t>
  </si>
  <si>
    <t>https://www.straitstimes.com/asia/trump-v-biden-whos-better-for-asia</t>
  </si>
  <si>
    <t>Oct 31, 2020</t>
  </si>
  <si>
    <t>US weapons sales to Thailand have a new competitor: China</t>
  </si>
  <si>
    <t>China quickly filled the void, stepping up military exercises and signing 10 major arms deals including Thailand's largest defense purchase ever.</t>
  </si>
  <si>
    <t>https://www.straitstimes.com/asia/se-asia/us-weapons-sales-to-thailand-have-a-new-competitor-china</t>
  </si>
  <si>
    <t>Dec 3, 2019</t>
  </si>
  <si>
    <t>Ask to what end Europe should impose its value systems ...</t>
  </si>
  <si>
    <t>Approximately 60 per cent of world trade now passes through Asia and 30 per cent of it goes through the South China Sea. In 20 years, Asia is expected to ...</t>
  </si>
  <si>
    <t>https://www.straitstimes.com/singapore/ask-to-what-end-europe-should-impose-its-value-systems-on-asia-says-ng-eng-hen-in-urging</t>
  </si>
  <si>
    <t>China and Asean agree on guidelines to expedite South ...</t>
  </si>
  <si>
    <t>China and South-east Asian countries have agreed on a set of guidelines to speed up negotiations for a code of conduct (COC) in the disputed South China Sea.</t>
  </si>
  <si>
    <t>https://www.straitstimes.com/asia/se-asia/china-and-asean-agree-on-guidelines-to-expedite-south-china-sea-negotiations</t>
  </si>
  <si>
    <t>Jul 13, 2023</t>
  </si>
  <si>
    <t>China, US in race for Asean: Who has the edge?</t>
  </si>
  <si>
    <t>China has sunk deep economic roots into South-east Asia. Last year, Asean-China trade totalled US$878.2 billion (S$1.2 trillion), more than 22 times the value ...</t>
  </si>
  <si>
    <t>https://www.straitstimes.com/multimedia/graphics/2022/05/china-us-influence-asean-southeast-asia/index.html?shell</t>
  </si>
  <si>
    <t>May 23, 2022</t>
  </si>
  <si>
    <t>Malaysia, China to have open communication over South ...</t>
  </si>
  <si>
    <t>Malaysia and China have agreed to have continual, open communication over the South China Sea issue, Malaysia Prime Minister Anwar Ibrahim said.</t>
  </si>
  <si>
    <t>https://www.straitstimes.com/asia/east-asia/malaysia-china-to-have-open-communication-over-south-china-sea-issue-anwar</t>
  </si>
  <si>
    <t>China's premier urges Asean to oppose new Cold War, US ...</t>
  </si>
  <si>
    <t>He also noted that China and Asean have been each other's top trading partners in the past three years, with the two-way trade volume reaching over US$970 ...</t>
  </si>
  <si>
    <t>https://www.straitstimes.com/asia/se-asia/china-s-premier-urges-asean-to-oppose-new-cold-war-us-v-p-pledges-enduring-commitment-to-region</t>
  </si>
  <si>
    <t>Asean concerned over US-China relationship as tensions ...</t>
  </si>
  <si>
    <t>Prime Minister Lee Hsien Loong said that Asean and China have forged close bonds of friendship over the past three decades.</t>
  </si>
  <si>
    <t>https://www.straitstimes.com/asia/se-asia/asean-concerned-over-us-china-relationship-as-tensions-could-stoke-flashpoints-pm-lee</t>
  </si>
  <si>
    <t>Asean and US elevate ties to a comprehensive strategic ...</t>
  </si>
  <si>
    <t>Asean and the US will now work more closely together in wide-ranging aspects such as clean energy. Read more at straitstimes.com.</t>
  </si>
  <si>
    <t>https://www.straitstimes.com/asia/asean-and-us-elevate-ties-to-a-comprehensive-strategic-partnership</t>
  </si>
  <si>
    <t>US-China rivalry: Asean must exert its own influence and ...</t>
  </si>
  <si>
    <t>Asean states have had to deal with external powers impinging into our region even before colonialism. Read more at straitstimes.com.</t>
  </si>
  <si>
    <t>https://www.straitstimes.com/asia/east-asia/asean-must-remain-united-in-face-of-competition-among-great-powers-ntu-don</t>
  </si>
  <si>
    <t>Asean has made progress on its long-term goals and areas ...</t>
  </si>
  <si>
    <t>Asean has made progress in planning for its long-term goals as well as on specific areas of cooperation, Singapore Prime Minister Lee Hsien Loong said on ...</t>
  </si>
  <si>
    <t>https://www.straitstimes.com/asia/se-asia/asean-has-made-progress-on-its-long-term-goals-and-areas-of-cooperation-says-pm-lee</t>
  </si>
  <si>
    <t>Asean leaders to meet in Jakarta for regional summit, amid ...</t>
  </si>
  <si>
    <t>Asean countries and China have been trying for years to formulate a legally binding COC to govern the South China Sea, one of the world's busiest waterways that ...</t>
  </si>
  <si>
    <t>https://www.straitstimes.com/asia/se-asia/asean-leaders-to-meet-in-jakarta-for-regional-summit-amid-tensions-over-new-chinese-map</t>
  </si>
  <si>
    <t>Sep 4, 2023</t>
  </si>
  <si>
    <t>https://www.google.com/search?q=trade+%22south+china+sea%22+%22asean-china%22+site%3Aasean.org+filetype%3Apdf&amp;lr=&amp;sca_esv=197713b87bf2beb1&amp;as_qdr=all&amp;tbs=cdr%3A1%2Ccd_min%3A2010&amp;sxsrf=ADLYWILF3NZSWH-Ia1lRtkzxcsPRDwYOEg%3A1725298672038&amp;ei=8PfVZr_9Aa6J9u8Pha_ZmA0&amp;ved=0ahUKEwi_temz5qSIAxWuhP0HHYVXFtMQ4dUDCBA&amp;uact=5&amp;oq=trade+%22south+china+sea%22+%22asean-china%22+site%3Aasean.org+filetype%3Apdf&amp;gs_lp=Egxnd3Mtd2l6LXNlcnAiQXRyYWRlICJzb3V0aCBjaGluYSBzZWEiICJhc2Vhbi1jaGluYSIgc2l0ZTphc2Vhbi5vcmcgZmlsZXR5cGU6cGRmSMHDA1D5jANYrL0DcAN4AJABAJgBsAGgAdIFqgEDMC41uAEDyAEA-AEBmAIAoAIAmAMAiAYBkgcAoAfhAQ&amp;sclient=gws-wiz-serp</t>
  </si>
  <si>
    <t>https://www.google.com/search?q=trade+%22south+china+sea%22+%22asean-china%22+site:asean.org+filetype:pdf&amp;lr=&amp;sca_esv=197713b87bf2beb1&amp;as_qdr=all&amp;tbs=cdr:1,cd_min:2010&amp;sxsrf=ADLYWIK1o81ZqHiTtrsTnCsraEeo_1xxaA:1725298749102&amp;ei=PfjVZr3uBbXm7_UPyL6B0Ak&amp;start=10&amp;sa=N&amp;sstk=AagrsugcLtyG7TDt7KVpiW2_jnEwRM6YEEHJ0SFMJigP6KhaH5Uulhl2CB_ZU04xulwkDWs0-zgS7BKFVGMJpab_safyBOGCG3A7PA&amp;ved=2ahUKEwj9gMnY5qSIAxU187sIHUhfAJoQ8tMDegQICxAE&amp;biw=1366&amp;bih=589&amp;dpr=1</t>
  </si>
  <si>
    <t>https://www.google.com/search?q=trade+%22south+china+sea%22+%22asean-china%22+site:asean.org+filetype:pdf&amp;lr=&amp;sca_esv=197713b87bf2beb1&amp;as_qdr=all&amp;tbs=cdr:1,cd_min:2010&amp;sxsrf=ADLYWIKrgU014B0TI23MmEboPcpTjmR7qQ:1725298824489&amp;ei=iPjVZtrYFL2B9u8P6-P12QE&amp;start=20&amp;sa=N&amp;sstk=AagrsujQN7-Ig6EUnNvFj3iypK-sZ9qu49vTQDeo2Row6tAUZshrmyUfmifFQ_7SlSP08PjPndtDWwkB3If-MuErcW5BZPJVdPrh46rotP38Mu0RX6ywK7l2SGVesTWsnwIa&amp;ved=2ahUKEwjavLn85qSIAxW9gP0HHetxPRs4ChDy0wN6BAgPEAc&amp;biw=1366&amp;bih=589&amp;dpr=1</t>
  </si>
  <si>
    <t>Chairman's Statement of the 26th ASEAN-China Summit</t>
  </si>
  <si>
    <t>We emphasised the importance to further enhance the implementation of the. ASEAN-China Free Trade Area (ACFTA). ... South China Sea (DOC) in its entirety.</t>
  </si>
  <si>
    <t>https://asean.org/wp-content/uploads/2023/09/FINAL-Chairmans-Statement-of-the-26th-ASEAN-China-Summit.pdf</t>
  </si>
  <si>
    <t>trade+%22south+china+sea%22+%22asean-china%22+site%3Aasean.org+filetype%3Apdf</t>
  </si>
  <si>
    <t>Overview of ASEAN-China Comprehensive Strategic ...</t>
  </si>
  <si>
    <t>Substantive Code of Conduct in the South China Sea at the PMC+1 Session with ... upgrade of the ASEAN-China Free Trade Area (ACFTA) at the 25th ASEAN-China.</t>
  </si>
  <si>
    <t>https://asean.org/wp-content/uploads/2024/06/Overview-of-ASEAN-China-CSP-12-June-2024.pdf</t>
  </si>
  <si>
    <t>Jun 12, 2024</t>
  </si>
  <si>
    <t>Chairman's Statement of the 25th ASEAN-China Summit</t>
  </si>
  <si>
    <t>We emphasised the importance to further enhancing the ASEAN-China Free Trade Area (ACFTA), in particular, ... Conduct of Parties in the South China Sea (DOC).</t>
  </si>
  <si>
    <t>https://asean.org/wp-content/uploads/2022/11/2.-Final-CS-25th-ASEAN-China-Summit-1.pdf</t>
  </si>
  <si>
    <t>Nov 11, 2022</t>
  </si>
  <si>
    <t>Remarks by</t>
  </si>
  <si>
    <t>The ASEAN-China journey is underscored by numerous milestones, including the establishment of the ASEAN-China Free Trade Area (ACFTA) in 2010, which has ...</t>
  </si>
  <si>
    <t>https://asean.org/wp-content/uploads/2024/06/Remarks-by-SG-Dr.-Kao-at-ASEAN-China-Future-Relations-Forum_As-Delivered.pdf</t>
  </si>
  <si>
    <t>Jun 19, 2024</t>
  </si>
  <si>
    <t>Final Draft ASEAN-China POA (2021-2025)</t>
  </si>
  <si>
    <t>in the South China Sea (DOC) in its entirety and conclude a Code of ... mutually beneficial ASEAN-China Free Trade Area;. 3.2 Work together for the ...</t>
  </si>
  <si>
    <t>https://asean.org/wp-content/uploads/2022/08/ASEAN-China-POA-2021-2025_Updated-with-ANNEX.pdf</t>
  </si>
  <si>
    <t>Aug 18, 2022</t>
  </si>
  <si>
    <t>joint statement of the asean-china special summit to</t>
  </si>
  <si>
    <t>South China Sea (COC), and look forward to the early conclusion of an ... implement the ASEAN-China Free Trade Agreement (ACFTA), and the remaining ...</t>
  </si>
  <si>
    <t>https://asean.org/wp-content/uploads/2021/11/Joint-Statement-30th-Anniversary-of-ASEAN-China-Dialogue-Relations-Final.pdf</t>
  </si>
  <si>
    <t>ASEAN Maritime Outlook</t>
  </si>
  <si>
    <t>See “How Much Trade Transits the South China Sea?” found at https ... China Sea (2017-2027) at the 20th ASEAN-China Summit on 13 November 2017 in Manila, the ...</t>
  </si>
  <si>
    <t>https://asean.org/wp-content/uploads/2023/08/AMO-1.pdf</t>
  </si>
  <si>
    <t>Aug 15, 2023</t>
  </si>
  <si>
    <t>ASEAN-China Strategic Partnership Vision 2030</t>
  </si>
  <si>
    <t>and safety in the South China Sea. Reiterate our respect for and commitment to ... including through the implementation of the ASEAN-China Free Trade Area.</t>
  </si>
  <si>
    <t>https://asean.org/wp-content/uploads/2018/11/ASEAN-China-Strategic-Partnership-Vision-2030.pdf</t>
  </si>
  <si>
    <t>chairman's statement of the 20th asean-china summit</t>
  </si>
  <si>
    <t>We welcomed the positive developments in the South China Sea (SCS) since the last ASEAN-China Summit. We noted that the Framework of the Code of Conduct in the.</t>
  </si>
  <si>
    <t>https://asean.org/wp-content/uploads/2017/11/FINAL-Chairmans-Statement-of-the-20th-ASEAN-China-Summit-13-Nov-2017-Manila1.pdf</t>
  </si>
  <si>
    <t>Plan of Action to Implement the Joint Declaration on ...</t>
  </si>
  <si>
    <t>This Plan of Action aims at implementing the Joint Declaration on ASEAN-China. Strategic Partnership for Peace and Prosperity signed on 8 October 2003 in ...</t>
  </si>
  <si>
    <t>https://www.asean.org/wp-content/uploads/images/2015/November/27th-summit/ASEAN-China%20POA%20%202016-2020.pdf</t>
  </si>
  <si>
    <t>Nov 27, 2015</t>
  </si>
  <si>
    <t>ASEAN-CHINA SUMMIT 1 3 November 20 14 Nay Pyi Taw, ...</t>
  </si>
  <si>
    <t>Code of Conduct in the South China Sea (COC) based on consensus. We ... upgrading of the ASEAN-China Free Trade Area (ACFTA). In this regard, we.</t>
  </si>
  <si>
    <t>https://www.asean.org/wp-content/uploads/images/Chairmans_statement_of_17th_ASEAN-China_Summit.pdf</t>
  </si>
  <si>
    <t>Nov 20, 2014</t>
  </si>
  <si>
    <t>trade+%22south+china+sea%22+%22asean-china%22+site:asean.org+filetype:pdf</t>
  </si>
  <si>
    <t>final</t>
  </si>
  <si>
    <t>the ASEAN-China Plan of Action to Implement the Joint Declaration on the ... South China Sea (DOC) and work towards the eventual adoption, on the basis ...</t>
  </si>
  <si>
    <t>https://asean.org/wp-content/uploads/2021/09/CH-CS.pdf</t>
  </si>
  <si>
    <t>Nov 18, 2011</t>
  </si>
  <si>
    <t>table of content</t>
  </si>
  <si>
    <t>South China Sea. However, we have clear interests in ensuring an open ... ASEAN-China Dialogue Relations for 2021-2024 to ensure continued progress in ...</t>
  </si>
  <si>
    <t>https://aseanregionalforum.asean.org/wp-content/uploads/2024/01/ASEAN-REGIONAL-FORUM-ANNUAL-SECURITY-OUTLOOK-2023-final-ver.pdf</t>
  </si>
  <si>
    <t>Jan 31, 2024</t>
  </si>
  <si>
    <t>secretary-general</t>
  </si>
  <si>
    <t>in the South China Sea. With effective implementation of the ASEAN-China Free Trade Area (ACFTA),. ASEAN and China have become major trading partners with ...</t>
  </si>
  <si>
    <t>https://asean.org/wp-content/uploads/2016/07/ASEAN-Secretary-Generals-Congratulatory-Letter-to-FM-of-China.pdf</t>
  </si>
  <si>
    <t>Jul 19, 2016</t>
  </si>
  <si>
    <t>EPICENTRUM OF GROWTH</t>
  </si>
  <si>
    <t>Code of Conduct in the South China Sea. In the second half of 2023, the ... the ASEAN-China Free Trade Area (ACFTA) 3.0. Upgrade Negotiations, and the ...</t>
  </si>
  <si>
    <t>https://asean.org/wp-content/uploads/2024/07/FIN_ASEAN-Annual-Report-2023-June-December-Epub.pdf</t>
  </si>
  <si>
    <t>Jul 19, 2024</t>
  </si>
  <si>
    <t>Chairmans-Statement-of-the-18th-ASEAN-China-Summit- ...</t>
  </si>
  <si>
    <t>8. We welcomed the successful conclusion of negotiations to upgrade the ASEAN-China. Free Trade Agreement (ACFTA) and the signing of the Protocol to ...</t>
  </si>
  <si>
    <t>https://www.asean.org/wp-content/uploads/2015/12/Chairmans-Statement-of-the-18th-ASEAN-China-Summit-Final.pdf</t>
  </si>
  <si>
    <t>annual report - 2022-2023</t>
  </si>
  <si>
    <t>Conduct of Parties in the South China Sea (DOC) in its entirety, including ... the launch of the ASEAN-China FTA upgrade negotiations; and iii ...</t>
  </si>
  <si>
    <t>https://asean.org/wp-content/uploads/2023/07/NEW-FINAL-ASEAN-Annual-Report-2022-2023.pdf</t>
  </si>
  <si>
    <t>Jul 12, 2023</t>
  </si>
  <si>
    <t>chairman's statement of the 26th asean plus three summit</t>
  </si>
  <si>
    <t>We commended the efforts of the ASEAN-China Centre (ACC), ASEAN-Japan. Centre (AJC) and ASEAN-Korea Centre (AKC) to promote trade, investment, culture ...</t>
  </si>
  <si>
    <t>https://asean.org/wp-content/uploads/2023/09/FINAL-Chairmans-Statement-of-the-26th-ASEAN-Plus-Three-Summit.pdf</t>
  </si>
  <si>
    <t>JOINT COMMUNIQUÉ OF THE 57th ...</t>
  </si>
  <si>
    <t>order to reach substantial conclusion of the ASEAN-China FTA 3.0 Upgrade within ... Sea and recognised the benefits of having the South China Sea as a sea of ...</t>
  </si>
  <si>
    <t>https://asean.org/wp-content/uploads/2024/07/Final-Joint-Communique-of-the-57th-AMM.pdf</t>
  </si>
  <si>
    <t>Jul 25, 2024</t>
  </si>
  <si>
    <t>Security Outlook</t>
  </si>
  <si>
    <t>Maritime cooperation, particularly in the South China Sea, has been pursued by ASEAN. ... ASEAN-China Maritime Exercise (ACMEX), ASEAN-US Maritime Exercise ...</t>
  </si>
  <si>
    <t>https://asean.org/wp-content/uploads/2021/10/ASEAN-Security-Outlook-ASO-2021.pdf</t>
  </si>
  <si>
    <t>Oct 15, 2021</t>
  </si>
  <si>
    <t>chairman's statement</t>
  </si>
  <si>
    <t>https://asean.org/wp-content/uploads/2024/07/The-Final-Chairmans-Statement-of-The-ASEAN-Post-Ministerial-Conference-PMC-101-with-Dialogue-Partners-and-Trilateral-Meetings.pdf</t>
  </si>
  <si>
    <t>ASEAN Annual Report 2021 - 2022</t>
  </si>
  <si>
    <t>https://asean.org/wp-content/uploads/2022/08/LAYOUT-ANNUAL-REPORT-2021-2022-11-28-spread_compressed.pdf</t>
  </si>
  <si>
    <t>ASEAN'S JOURNEY AS A POLITICAL AND SECURITY ...</t>
  </si>
  <si>
    <t>https://asean.org/wp-content/uploads/2019/07/APSC-Outlook-Vol-1-2019-No-1.pdf</t>
  </si>
  <si>
    <t>The-56th-AMM-Joint-Communique.pdf</t>
  </si>
  <si>
    <t>https://asean.org/wp-content/uploads/2023/07/The-56th-AMM-Joint-Communique.pdf</t>
  </si>
  <si>
    <t>https://asean.org/wp-content/uploads/2022/08/Final_Chairmans_Statement_of_PMC_101_Sessions_with_DPs__Trilateral-Meetings.pdf</t>
  </si>
  <si>
    <t>Joint CommuniquÃ©</t>
  </si>
  <si>
    <t>https://asean.org/wp-content/uploads/images/2013/news/joint%20communique%20of%20the%2046th%20asean%20foreign%20ministers%20meeting%2046th%20amm%20-%20final%20-%2030%20june%202013.pdf</t>
  </si>
  <si>
    <t>JOINT COMMUNIQUÃ‰ OF THE 57th ...</t>
  </si>
  <si>
    <t>chairman's statement of the 10th east asia summit</t>
  </si>
  <si>
    <t>https://eastasiasummit.asean.org/storage/chairmans_statements_file/R2bmtIeorSJodF6HksFeYSnFj95rVHPr5P2JyzTH.pdf</t>
  </si>
  <si>
    <t>One Community, One Destiny.</t>
  </si>
  <si>
    <t>https://asean.org/wp-content/uploads/2021/03/1_ASEAN-Chairmans-Statement_PMC1-Sessions_Final.pdf</t>
  </si>
  <si>
    <t xml:space="preserve">link </t>
  </si>
  <si>
    <t>year</t>
  </si>
  <si>
    <t>Joint Media Statements of the 10th AEM-MOFCOM Consultations, Manado, Indonesia, 12 August 2011</t>
  </si>
  <si>
    <t>https://asean.org/wp-content/uploads/2021/09/ASEAN-DOCUMENTS-SERIES-2011.pdf</t>
  </si>
  <si>
    <t>Government of the People's Republic of China on Cooperation in the Field of Non-Traditional Security Issues, Bali, Indonesia, 12 October 2011</t>
  </si>
  <si>
    <t>Joint Statement of the 14th ASEAN-China Summit to Commemorate the 20th Anniversary of Dialogue Relations, Bali, Indonesia, 18 November 2011</t>
  </si>
  <si>
    <t>https://asean.org/wp-content/uploads/2024/02/ASEAN-Documents-Series-2012.pdf</t>
  </si>
  <si>
    <t>Joint Media Statement of the 11th AEM-MOFCOM Consultation, Siem Reap, Cambodia, 29 August 2012</t>
  </si>
  <si>
    <t>Chairman's Statement of the 15th ASEAN-China Summit, Phnom Penh, Cambodia, 19 November 2012</t>
  </si>
  <si>
    <t>Joint Statement of the 15th ASEAN-China Summit on the 10th Anniversary of the Declaration on the Conduct of Parties in the South China Sea - Enhancing Peace, Friendship and Cooperation, Phnom Penh, Cambodia, 19 November 2012</t>
  </si>
  <si>
    <t>Joint Media Statement of the 12th AEM-MOFCOM Consultations, Bandar Seri Begawan, Brunei Darussalam, 20 August 2013.</t>
  </si>
  <si>
    <t>https://asean.org/wp-content/uploads/2022/09/11.-November-2014-ASEAN-Documents-Series-2013.pdf</t>
  </si>
  <si>
    <t>Joint Statement of the 16th ASEAN-China Summit on Commemoration of the 10th Anniversary of the ASEAN-China Strategic Partnership, Bandar Seri Begawan, Brunei Darussalam, 9 October 2013</t>
  </si>
  <si>
    <t>Joint Media Statement of the 13th AEM-MOFCOM Consultation, Nay Pyi Taw, Myanmar, 26 August 2014</t>
  </si>
  <si>
    <t>https://asean.org/wp-content/uploads/2021/09/9.-September-2015-ASEAN-Documents-Series-2014.pdf</t>
  </si>
  <si>
    <t>Joint Press Statement of the 4th ASEAN-China Ministerial Meeting on Quality Supervision, Inspection and Quarantine (SPS Cooperation), Nay Pyi Taw, Myanmar, 25 September 2014</t>
  </si>
  <si>
    <t>Protocol 2 on Fifth Freedom Traffic Rights Between Contracting Parties, Bangkok, Thailand, 19 November 2014</t>
  </si>
  <si>
    <t>Plan of Action to Implement the Joint Declaration on ASEAN-China Strategic Partnership for Peace and Prosperity (2016-2020)</t>
  </si>
  <si>
    <t>https://asean.org/wp-content/uploads/2016/10/ASEAN-Documents-Series-2015.pdf</t>
  </si>
  <si>
    <t>Joint Media Statement of the 14th AEM-MOFCOM Consultations, Kuala Lumpur, Malaysia, 23 August 2015.</t>
  </si>
  <si>
    <t>Chairman's Statement of the 18th ASEAN-China Summit - Our People, Our Community, Our Vision, Kuala Lumpur, Malaysia, 21 November 2015.</t>
  </si>
  <si>
    <t>The Protocol to Amend the Framework Agreement on Comprehensive Economic Co-operation and Certain Agreements thereunder between the Association of Southeast Asian Nations (ASEAN) and the People's Republic of China, Kuala Lumpur, Malaysia, 21 November 2015</t>
  </si>
  <si>
    <t>Joint Media Statement of the 15th AEM-MOFCOM Consultations, Vientiane, Lao PDR, 4 August 2016</t>
  </si>
  <si>
    <t>https://asean.org/wp-content/uploads/2024/02/ASEAN-Documents-Series-2016.pdf</t>
  </si>
  <si>
    <t>Joint Statement of the 19th ASEAN-China Summit to Commemorate the 25th Anniversary of ASEAN-China Dialogue Relations, Vientiane, Lao PDR, 7 September 2016</t>
  </si>
  <si>
    <t>Joint Statement on the Application of the Code for Unplanned Encounters at Sea in the South China Sea, Vientiane, Lao PDR, 7 September 2016</t>
  </si>
  <si>
    <t>China claims more than 80 per cent of the waterway via its “nine-dash 
line”, which stretches as far as 2,000km from the mainland, reaching waters 
close to Indonesia and Malaysia.Vietnam claims sovereignty over the Paracel Islands and the Spratly 
Islands, while the Philippines asserts ownership of the Spratly archipelago 
and the Scarborough Shoal. Brunei and Malaysia have claimed sovereignty 
over southern parts of the sea and some of Spratly Islands. Over the years, 
the claimants have seized control of a raft of sea features, including 
rocks, islands and low-tide elevations.Indonesia is not a claimant state but maintains an exclusive economic zone 
in the Natuna Islands on the edge of the South China Sea, and has 
challenged China’s efforts to fish in the region. Earlier this year, 
Jakarta protested the presence of a Chinese coastguard vessel escorting 
Chinese fishing boats in the area, and deployed fighter jets and warships 
to patrol the islands.{"@context":"https://schema.org","@type":"ImageObject","caption":"Vietnamese 
sailors patrolling on Phan Vinh Island in the Spratly archipelago. Photo: 
AFP","url":"https://img.i-scmp.com/cdn-cgi/image/fit=contain,width=1024,format=auto/sites/default/files/d8/images/methode/2020/08/20/93e09dc6-2e6d-11e9-80ef-0255f1ad860b_1320x770_194433.JPG"}Vietnamese 
sailors patrolling on Phan Vinh Island in the Spratly archipelago. Photo: 
AFPWhy is the South China Sea so important?The South China Sea is a key commercial thoroughfare connecting Asia with 
Europe and Africa, and its seabed is rich with natural resources. One third 
of global shipping, or a total of US$3.37 trillion of international trade, 
passes through the sea.About 80 per cent of China’s oil imports arrive via the Strait of Malacca 
and the South China Sea.The sea is also believed to contain major reserves of natural resources, 
such as natural gas and oil. The US Energy Information Administration 
estimates the area contains at least 11 billion barrels of oil and 190 
trillion cubic feet of natural gas. Other estimates are as high as 22 
billion barrels of oil and 290 trillion cubic feet of gas.The South China Sea also accounts for 10 per cent of the world’s fishery 
stocks, making it a key source of food for hundreds of millions of people. 
To conserve stocks, Beijing in 1999 introduced an annual summer ban on 
fishing in the waters it claims, a “unilateral decision” disputed by 
Vietnam and the Philippines.There have been multiple disputes and complaints over fishing boats from 
one claimant nation encroaching on waters in which another country claims 
sovereignty. Recent cases involve Vietnam and China, while Indonesia’s 
former fisheries minister made headlines for blowing up and sinking illegal 
fishing boats that had been seized by the authorities. 
{"@context":"https://schema.org","@type":"VideoObject","contentUrl":"//www.youtube.com/embed/IbmpAk0zrbM?wmode=transparent&amp;jqoemcache=UdCOW&amp;enablejsapi=1&amp;playsinline=1","description":"Washington’s 
hardened position on Beijing’s claims in South China Sea heightens US-China 
tensions","duration":"PT2M32S","embedUrl":"https://www.scmp.com/week-asia/article/2186449/explained-south-china-sea-dispute","name":"Washington’s 
hardened position on Beijing’s claims in South China Sea heightens US-China 
tensions","thumbnailUrl":["https://cdn.i-scmp.com/sites/default/files/d8/video/thumbnail/2020/07/15/clean.jpg","https://cdn.i-scmp.com/sites/default/files/styles/wide_landscape/public/d8/video/thumbnail/2020/07/15/clean.jpg?itok=_QOM4m5d","https://cdn.i-scmp.com/sites/default/files/styles/768x768/public/d8/video/thumbnail/2020/07/15/clean.jpg?itok=ZoSh6YHs"],"uploadDate":"2019-02-16T09:30:00.000Z"}{"@context":"https://schema.org","@type":"ImageObject","url":"https://cdn.i-scmp.com/sites/default/files/styles/wide_landscape/public/d8/video/thumbnail/2020/07/15/clean.jpg?itok=_QOM4m5d"}02:32Washington’s 
hardened position on Beijing’s claims in South China Sea heightens US-China 
tensionsWashington’s hardened position on Beijing’s claims in South China 
Sea heightens US-China tensionsHow has the situation evolved?In 2014, the deployment of a Chinese drilling rig in waters near the 
Paracel Islands led to several confrontations between Vietnamese and 
Chinese ships and provoked protests in Vietnam.That same year, Beijing began land reclamation operations in some of the 
features it controls in the Spratly archipelago, increasing surface area 
with man-made structures and in turn building military installations on 
them.China has also established a new city on one of the islands – Sansha on 
Woody Island – in turn leading to an increase in Chinese tourism. Analysts 
note China’s success in changing the facts on the ground gradually, without 
triggering a major confrontation with other claimants or the US.In July 2016, a ruling by an international tribunal in The Hague determined 
China had no “historic rights” over the sea and ruled that some of the 
rocky outcrops claimed by several countries could not legally be used as 
the basis for territorial claims. Beijing rejected the ruling and described 
it as having “no binding force”.Later that year, Philippine President Rodrigo Duterte said he would set 
aside the tribunal’s ruling. While his administration is seen by analysts 
as being mostly pro-China, incidents in the South China Sea have soured 
public opinion in the Southeast Asian nation towards Beijing, including the 
June 2019 sinking of a Philippine fishing boat after it was struck by a 
Chinese vessel.{"@context":"https://schema.org","@type":"ImageObject","caption":"Chinese 
tourists on Quanfu Island, one of the Paracel Islands, in 2014. Photo: 
AP","url":"https://img.i-scmp.com/cdn-cgi/image/fit=contain,width=1024,format=auto/sites/default/files/d8/images/methode/2020/08/20/569a892c-e221-11ea-8e8d-92e5de2d33e5_1320x770_194433.jpeg"}Chinese 
tourists on Quanfu Island, one of the Paracel Islands, in 2014. Photo: APOfficials from both sides have met to discuss joint oil exploration 
activities near the Reed Bank, most recently in January, while Philippine 
and Chinese diplomats last month called the disagreement a “little pebble” 
on the road to closer economic cooperation. Duterte also recently barred 
the Philippine military from US-led military exercises in the South China 
Sea, in a bid to keep a lid on tensions in the region.Tensions between China and Vietnam over their overlapping claims have risen 
this year. In April, a Chinese coastguard vessel collided with and sunk a 
Vietnamese fishing boat leading to an official protest from Hanoi.Later that month, in a bid to underline its sovereignty there, China named 
80 geographical features in the Paracel and Spratly Islands, which are also 
claimed by Vietnam. It also set up two new administrative districts on the 
islands, to be governed by the city Beijing had set up in Sansha. In 
response, Vietnam accused China of “seriously violating” its sovereignty.In late July, Malaysia issued an unusually strident rebuke of China 
following Beijing’s assertion that Kuala Lumpur had no right to seek the 
establishment of its continental shelf in the northern part of the South 
China Sea. In a note verbale to the United Nations, Malaysia stressed that 
its application was fully within its rights under the 1982 UN Convention 
for the Law of the Sea (Unclos).{"@context":"https://schema.org","@type":"ImageObject","caption":"Chinese 
dredging vessels in the waters around Mischief Reef in the disputed Spratly 
Islands. Photo: 
Reuters","url":"https://img.i-scmp.com/cdn-cgi/image/fit=contain,width=1024,format=auto/sites/default/files/d8/images/methode/2020/08/20/31ca3e0c-2e6e-11e9-80ef-0255f1ad860b_1320x770_194433.JPG"}Chinese 
dredging vessels in the waters around Mischief Reef in the disputed Spratly 
Islands. Photo: ReutersWhere does Asean stand on the overlapping claims?A draft code of conduct for the South China was put forward in August 2018, 
while China and Asean reached an agreement in November that year to 
finalise it within three years of 2019. Vietnam was expected to make some 
progress towards the code during its 12-month chairmanship of the regional 
bloc this year, only for the Covid-19 pandemic to scuttle that plan.Analysts say Asean as a collective has tried to be nuanced and subtle in 
its approach to the South China Sea issue in order to balance regional 
interests with those of its member states.However, the chairman’s statement issued following the June Asean summit 
headed by Vietnam saw the association use what was seen as tough language 
on the disputed waterway, including concerns on “land reclamations, recent 
developments, activities and serious incidents” that “may have eroded trust 
and confidence” and “may undermine peace, security and stability”.In the statement, Asean also reaffirmed that the 1982 Unclos was the basis 
for determining maritime entitlements and sovereign rights over maritime 
zones, and was “the legal framework within which all activities in the 
oceans and seas must be carried out”.The assertion is seen as one of their strongest remarks opposing China’s 
stance, and a reference to the 2016 ruling in The Hague, which was made 
under Unclos and invalidated most of Beijing’s claims in the South China 
Sea. 
{"@context":"https://schema.org","@type":"VideoObject","contentUrl":"//www.youtube.com/embed/29v-w6HZqTc?wmode=transparent&amp;jqoemcache=UdCOW&amp;enablejsapi=1&amp;playsinline=1","description":"China 
ends fishing ban in South China Sea, raising fear of potential conflicts 
among fishermen 
","duration":"PT1M24S","embedUrl":"https://www.scmp.com/week-asia/article/2186449/explained-south-china-sea-dispute","name":"China 
ends fishing ban in South China Sea, raising fear of potential conflicts 
among fishermen 
","thumbnailUrl":["https://cdn.i-scmp.com/sites/default/files/d8/video/thumbnail/2020/08/19/clean_chinese_fishing_ban_thumbnail.jpg","https://cdn.i-scmp.com/sites/default/files/styles/wide_landscape/public/d8/video/thumbnail/2020/08/19/clean_chinese_fishing_ban_thumbnail.jpg?itok=EG8fYamw","https://cdn.i-scmp.com/sites/default/files/styles/768x768/public/d8/video/thumbnail/2020/08/19/clean_chinese_fishing_ban_thumbnail.jpg?itok=m7K0DDO3"],"uploadDate":"2019-02-16T09:30:00.000Z"}{"@context":"https://schema.org","@type":"ImageObject","url":"https://cdn.i-scmp.com/sites/default/files/styles/wide_landscape/public/d8/video/thumbnail/2020/08/19/clean_chinese_fishing_ban_thumbnail.jpg?itok=EG8fYamw"}01:24China 
ends fishing ban in South China Sea, raising fear of potential conflicts 
among fishermen China ends fishing ban in South China Sea, raising fear of 
potential conflicts among fishermen What role does the US play in the South China Sea?The US has wide-ranging security commitments in East Asia, and is allied 
with several of the countries bordering the South China Sea, such as the 
Philippines, Singapore and Vietnam. Furthermore, the waterway is a vital 
trade route in the global supply chain, used by American companies who 
produce goods in the region.The US has conducted regular Freedom of Navigation operations in the waters 
since 2015, designed to challenge what Washington considers excessive 
claims from Beijing and grant the free passage of commercial ships.US patrols near disputed features claimed by China hit a record high in 
2019, while it held 85 military exercises with regional allies in the 
Indo-Pacific last year. These included the first joint maritime exercises 
between the US and Asean, which were held in September 2019 and extended 
into the South China Sea.In the latest salvo between the two superpowers – which have clashed heads 
over trade, Covid-19 and human rights – US Secretary of State Mike Pompeo 
in July issued a statement detailing Washington’s strident rejection of all 
Chinese claims beyond the 12-nautical-mile territorial area around the 
Spratly Islands.{"@context":"https://schema.org","@type":"ImageObject","caption":"Indonesia’s 
President Joko Widodo reaffirms his country's sovereignty during a visit to 
the Natuna Islands in January 2020. Photo: 
AP","url":"https://img.i-scmp.com/cdn-cgi/image/fit=contain,width=1024,format=auto/sites/default/files/d8/images/methode/2020/08/20/5b99b68c-e221-11ea-8e8d-92e5de2d33e5_1320x770_194433.jpeg"}Indonesia’s 
President Joko Widodo reaffirms his country's sovereignty during a visit to 
the Natuna Islands in January 2020. Photo: APJuly also saw Vietnam sign a memorandum of understanding with the US, which 
pledged support for Vietnamese fishermen against what the American 
ambassador called “illegal intimidation” in the waterway, without 
mentioning China. That same month, Chinese President Xi Jinping called 
Singapore’s Prime Minister Lee Hsien Loong and said Beijing would work with 
the island nation to safeguard regional stability – remarks seen as a 
“reminder” for it not to take sides.Is there any resolution in sight?According to analysts, Pompeo’s statement lays out a marker that Washington 
intends to align its foreign policy with the 2016 Hague ruling, similar to 
the stance taken by Asean – even though the US has never formally ratified 
Unclos. However, the bloc’s member states are seen as being likely to 
remain cautious and not publicly take Washington’s side, even after 
Pompeo’s broadside, as they need to maintain ties with Beijing to shore up 
their economic recovery from the Covid-19 pandemic.Pompeo in August reached out to the foreign ministers of non-claimant 
states Indonesia and Singapore to reiterate American support for 
international law in the South China Sea, but the Southeast Asian nations 
steered clear of the US-China dispute.Developments in the waterway are being keenly observed, with some critics 
warning that the South China Sea, rather than Taiwan, could be the spark 
for military action between the two superpowers.</t>
  </si>
  <si>
    <t>“When these Asean countries say they do not want to choose, they are saying 
they do not want to move too far away from their current positions because 
they are comfortable with them,” he said. “Yet it is important to note that 
these positions are not cast in stone. They will shift over time, and in 
that sense, the political strategic alignments of the majority [of nations] 
in Southeast Asia are up for grabs.” These positions, experts say, include a strategy of public hedging to keep 
their options open, as the countries’ economic and geopolitical 
considerations may vary. {"@context":"https://schema.org","@type":"ImageObject","caption":"China’s 
Premier Li Keqiang addresses Asean leaders in November 2020. Photo: 
AFP","url":"https://img.i-scmp.com/cdn-cgi/image/fit=contain,width=1024,format=auto/sites/default/files/d8/images/canvas/2021/04/09/ae6ce6d7-4c86-4a3f-b2cf-7ac18b91c5e9_12f5cb62.jpg"}China’s 
Premier Li Keqiang addresses Asean leaders in November 2020. Photo: AFPMark N. Katz, a government and politics professor at George Mason 
University in the US, said Southeast Asian states seeking close relations 
with China would not want to cut ties with the US either.“Their friendlier ties to China may be their way of pressuring the US to 
either stop criticising them so much on human rights and democracy, or to 
get Washington to be more solicitous towards them,” Katz said.Claiming not to take sides allows Asian countries to “have their cake and 
eat it too”, according to National University of Singapore 
political-science professor Chong Ja Ian, referring to the continuity of 
China’s economic opportunities and the strategic stability and 
predictability ensured by the US military presence in the region.CHANGING CIRCUMSTANCESRecent tensions in the South China Sea, however, have forced some countries 
to reconsider their positions.Beijing has in recent weeks lined up Chinese vessels at the Whitsun Reef, 
which it claims despite the reef’s position within Manila’s exclusive 
economic zone. The Philippines says the vessels are maritime militia, and 
is facing domestic pressure to defend its sovereignty and protect its 
marine resources, but Beijing claims they are fishing boats taking shelter. 
China has also deployed aircraft carriers in the East and South China Seas.Meanwhile, the US-China rivalry went up a notch last month when Washington 
and its allies such as Britain, Canada and the European Union imposed 
sanctions on Chinese officials accused of human rights abuses in Xinjiang. 
Beijing retaliated with sanctions on European lawmakers and institutions.In the US Department of State’s 2020 human rights report, released on March 
30, Washington for the first time classified Beijing’s actions in Xinjiang 
as “genocide and crimes against humanity”. On Tuesday, Washington said it 
was considering a joint boycott of the 2022 Beijing Winter Olympics, in 
coordination with its allies, amid calls from lawmakers and advocacy groups 
to back away from the games due to human rights violations in China. 
{"@context":"https://schema.org","@type":"VideoObject","contentUrl":"https://www.youtube.com/embed/Ef7C9ayxVSw?wmode=transparent&amp;jqoemcache=UdCOW&amp;enablejsapi=1&amp;playsinline=1","description":"Philippines 
sounds alarm over 200 Chinese ships in the South China 
Sea","duration":"PT2M37S","embedUrl":"https://www.scmp.com/week-asia/politics/article/3128986/us-china-rivalry-pressure-asean-countries-choose-sides","name":"Philippines 
sounds alarm over 200 Chinese ships in the South China 
Sea","thumbnailUrl":["https://cdn.i-scmp.com/sites/default/files/d8/video/thumbnail/2021/04/01/south_china_sea_thumbanil_clean.jpg","https://cdn.i-scmp.com/sites/default/files/styles/wide_landscape/public/d8/video/thumbnail/2021/04/01/south_china_sea_thumbanil_clean.jpg?itok=uffdyPAl","https://cdn.i-scmp.com/sites/default/files/styles/768x768/public/d8/video/thumbnail/2021/04/01/south_china_sea_thumbanil_clean.jpg?itok=W_Cy-NHI"],"uploadDate":"2021-04-10T09:00:17.000Z"}{"@context":"https://schema.org","@type":"ImageObject","url":"https://cdn.i-scmp.com/sites/default/files/styles/wide_landscape/public/d8/video/thumbnail/2021/04/01/south_china_sea_thumbanil_clean.jpg?itok=uffdyPAl"}02:37Philippines 
sounds alarm over 200 Chinese ships in the South China SeaPhilippines 
sounds alarm over 200 Chinese ships in the South China SeaThe Philippines and even Malaysia, which have both built closer ties with 
China in recent years, would have hoped Beijing would have been more 
accommodating to them over the South China Sea dispute, George Mason 
University’s Katz said. “This hope having clearly proved unfounded, I 
actually see both moving more towards the US.”Since Philippine President Rodrigo Duterte took power in 2016, he has 
chosen Chinese economic largesse by downplaying Manila’s arbitral victory 
that same year, when an international tribunal at The Hague rejected 
China’s “nine-dash line” claim to sovereignty over nearly the entire South 
China Sea. Though the Philippines is a strong security ally of the US, it 
is heavily reliant on Chinese Covid-19 vaccines.Duterte’s position is a far cry from the preceding administration of 
Benigno Aquino III, who not only initiated the landmark arbitration case in 
2013 but two years later also made a veiled comparison between China’s 
activities in the South China Sea and Nazi Germany’s expansionism before 
World War II.Malaysia, which was friendly towards China during Najib Razak’s prime 
ministership from 2009 to 2018, found itself pulling back once he was 
ousted from power. The proposed East Coast Rail Link – part of China’s Belt 
and Road Initiative – agreed between Beijing and the Najib administration 
was scuttled, but was later revived under new terms and conditions.On Laos and Cambodia, Katz said aligning with Beijing was less about the 
US-China rivalry and more to do with those countries’ continued fear of 
Vietnam, coupled with their realisation that Washington was unlikely to 
help them since it now was on relatively good terms with Hanoi. Cambodia for centuries had a fraught relationship with Vietnam over the 
latter’s attempts to colonise it. In 1978, Vietnam’s invasion and 
decade-long occupation of Cambodia on the pretext of removing the murderous 
Khmer Rouge regime also left bitter memories among many Cambodians. Due to 
its dominance during the 19th century, Vietnam regards both Cambodia and 
Laos as vassal states.{"@context":"https://schema.org","@type":"ImageObject","caption":"US Navy 
vessels in the South China Sea in July 2020. Photo: 
AP","url":"https://img.i-scmp.com/cdn-cgi/image/fit=contain,width=1024,format=auto/sites/default/files/d8/images/canvas/2021/04/09/39e92fe4-861b-419c-a277-a8e14321d1f4_6333d0b7.jpg"}US 
Navy vessels in the South China Sea in July 2020. Photo: AP“Small states like Laos and Cambodia are more concerned about their 
immediate neighbours than global geopolitics, but are willing to exploit a 
great power’s geopolitical concerns to get its help against their 
neighbour,” Katz said.Kashish Parpiani, a strategic studies fellow at the Observer Research 
Foundation, a Delhi-based think tank, said even if countries such as 
Thailand and the Philippines forged closer ties with China, they would be 
keen to maintain their long-standing security ties with the US. Thailand is a major non-Nato ally of the US – a designation given by 
Washington to countries that are not in the North Atlantic Treaty 
Organisation but have strategic working relationships with the US Armed 
Forces.Manila, in particular, had become aware that unwinding its security ties 
with the US carried “the risk of only emboldening China”, Parpiani said. He 
added that the Philippines had in recent weeks reversed its decision to 
terminate the Visiting Forces Agreement, a 1998 agreement between Manila 
and Washington that provides the legal framework under which US forces can 
operate on a rotational basis in the country.Speaking in his personal capacity, Paul J. Smith, a professor at the US 
Naval War College, said even though Vietnam shared a common interest with 
the US in balancing Chinese influence in the region, there were limits to 
how close both countries could get.“At some point, the US will issue a report [on Vietnam’s] human rights or 
legal system that will rub Hanoi the wrong way, and then the ‘chill’ will 
be back in the relationship,” he said. “Vietnam doesn’t want to cut itself 
off completely from some of the fruits of the Chinese economy, so it will 
hedge.” 
{"@context":"https://schema.org","@type":"VideoObject","contentUrl":"https://www.youtube.com/embed/lRHvHA1LMZk?wmode=transparent&amp;jqoemcache=UdCOW&amp;enablejsapi=1&amp;playsinline=1","description":"Explained: 
the history of China’s territorial 
disputes","duration":"PT6M24S","embedUrl":"https://www.scmp.com/week-asia/politics/article/3128986/us-china-rivalry-pressure-asean-countries-choose-sides","name":"Explained: 
the history of China’s territorial 
disputes","thumbnailUrl":["https://cdn.i-scmp.com/sites/default/files/d8/video/thumbnail/2020/08/29/chinas_border_web_plain.jpg","https://cdn.i-scmp.com/sites/default/files/styles/wide_landscape/public/d8/video/thumbnail/2020/08/29/chinas_border_web_plain.jpg?itok=CYdX0uzI","https://cdn.i-scmp.com/sites/default/files/styles/768x768/public/d8/video/thumbnail/2020/08/29/chinas_border_web_plain.jpg?itok=YGE5_T1H"],"uploadDate":"2021-04-10T09:00:17.000Z"}{"@context":"https://schema.org","@type":"ImageObject","url":"https://cdn.i-scmp.com/sites/default/files/styles/wide_landscape/public/d8/video/thumbnail/2020/08/29/chinas_border_web_plain.jpg?itok=CYdX0uzI"}06:24Explained: 
the history of China’s territorial disputesExplained: the history of 
China’s territorial disputesNARROWING WINDOW?Analysts said it was possible that the window of opportunity for not taking 
sides was narrowing for Asian countries.In the past, when there was greater convergence in US-China interests, 
countries “could find a spot somewhere in the overlapping policy space”, 
said Chong from the National University of Singapore.“As Washington and Beijing diverge on their interests, this policy space 
shrinks and actions previously deemed acceptable and as ‘not choosing 
sides’ may now find a less hospitable environment,” he said. “At some 
point, some states may find it less costly and less risky to pick a side.”Parpiani of the Observer Research Foundation said much would depend on 
whether US President Joe Biden’s administration continued confronting 
Beijing on multiple fronts. Among other things, the US is looking to 
further restrict sensitive technology exports to China and invest in 
innovation to reduce its dependence on Chinese tech.Pointing to how the Trump administration had set up the Clean Network, 
comprising more than 60 countries, to establish common standards in digital 
governance, Parpiani said such initiatives guiding the acquisition and use 
of technology and services from China had begun to gradually force 
countries to pick sides.“It now remains to be seen if Biden continues that push under his stated 
policy of rebuilding US alliances and confronting China with the cumulative 
strength of multilateralism,” he said.Rohan Mukherjee, an assistant political science professor at Yale-NUS 
College in Singapore, said the main factor that might cause changes in 
alignments would be Beijing’s own behaviour in the region.He added that countries currently trying to take a middle path were not 
guaranteed to pick the US if compelled. “Many countries in Southeast Asia 
would rather learn to live with Chinese hegemony than increase the 
likelihood of great-power conflict by expanding the US alliance system in 
their backyard.”</t>
  </si>
  <si>
    <t>They are surrounded by resource-rich waters that China claims as part of 
its traditional fishing grounds and to reinforce these claims Beijing has 
in recent weeks sent coastguard ships to escort its fishing vessels into 
the surrounding area.On Wednesday, that prompted a forceful response from Jakarta, which 
deployed fighter jets and warships to the islands ahead of Widodo’s visit 
and said it would send hundreds of fishermen to the Natunas to keep an eye 
out for foreign vessels.Such strong action is notable from Jakarta, which has long been aloof 
towards the territorial disputes between Beijing and most of its neighbours 
in the South China Sea. Indonesia is not a claimant in any South China Sea 
dispute with China. But the exclusive economic zone it says extends from 
the Natuna Islands overlaps with waters claimed by China as traditional 
fishing grounds.Yan Yan, director of the Research Centre for Oceans Law and Policy at the 
Chinese government-backed National Institute for South China Sea Studies, 
said Indonesia had been taking increasingly tough measures to defend the 
waters off the Natuna Islands from other countries.“China recognises Indonesia’s sovereignty in the Natuna Islands,” said Yan 
in an article for the institute. “The dispute is mainly about fishing 
rights, it should not be escalated to a political and territorial one.”{"@context":"https://schema.org","@type":"ImageObject","caption":"Indonesia's 
President Joko Widodo visits a military base in the Natuna Islands. Photo: 
AFP","url":"https://img.i-scmp.com/cdn-cgi/image/fit=contain,width=1024,format=auto/sites/default/files/d8/images/methode/2020/01/18/e7e793c0-3876-11ea-9933-e21be988cd59_1320x770_213517.JPG"}Indonesia's 
President Joko Widodo visits a military base in the Natuna Islands. Photo: 
AFPBut since the spat this week, its officials have invoked the 2016 ruling by 
the Permanent Court of Arbitration in The Hague, which ruled that the 
nine-dash line marking Beijing’s territorial claims in the South China Sea 
had no basis in international law, as evidence of China’s overreaching 
maritime claims.Its uncompromising attitude has made it just the latest nation in the 
region to push back against China’s maritime claims, prompting speculation 
that this could be the year the larger players in the Association of 
Southeast Asian Nations (Asean) finally push the bloc to get tough on the 
issue.Over the next 12 months Vietnam, as the newly installed Asean chairman, is 
expected to use its position to push the bloc to finalise a Code of Conduct 
for the South China Sea. Hanoi has long been one of the region’s most vocal 
critics of China’s maritime ambitions and for months last year pushed back 
against the presence of a Chinese surveying vessel in oil- and gas-rich 
waters claimed by both countries.Malaysia, too, has shown signs of defiance, last month submitting to the 
United Nations its claims for an extended continental shelf that directly 
overlapped China’s territorial claims.“These recent incidents could catalyse Indonesia to put more effort into 
pushing for an Asean consensus towards China [and] the Code of Conduct,” 
said Collin Koh, research fellow at Singapore’s S Rajaratnam School of 
International Studies (RSIS).Le Hong Hiep, a research fellow at the ISEAS-Yusof Ishak Institute in 
Singapore, said Beijing’s rejection of the 2016 ruling risked alienating 
its friends in the region and had provoked claimant states to challenge it.“Beijing is facing a dilemma,” said Hiep. “If [the Chinese] want to assert 
their claims, they have to pretend the ruling had no effect on their 
status. But by doing so, they will anger other claimant states, which could 
tempt them to take stronger actions, including challenging their presence.”{"@context":"https://schema.org","@type":"ImageObject","caption":"Conflicting 
claims in the South China Sea. Click to 
enlarge.","url":"https://img.i-scmp.com/cdn-cgi/image/fit=contain,width=1024,format=auto/sites/default/files/d8/images/methode/2020/01/18/5b55a172-391b-11ea-9933-e21be988cd59_972x_213517.jpg"}Conflicting 
claims in the South China Sea. Click to enlarge.PUSHING BACKVietnam’s deputy foreign minister Nguyen Quoc Dung last month called on 
Beijing to show restraint and described China’s behaviour in the South 
China Sea – through which more than US$3 trillion in trade passes every 
year – as alarming and threatening to both Vietnam and other countries.Chinese oil survey vessel Haiyang Dizhi 8 spent more than three months in 
Vietnam’s exclusive economic zone last year, in what Hanoi said was a 
violation of its sovereignty.Malaysia released its first defence white paper late last year, naming both 
the US and China as sources of tension in the sea. Experts say that the 
submission of the extended continental shelf claims, which significantly 
conflict with China’s, shows Malaysia’s support for the 2016 Hague ruling.Not everyone has been pushing back, however. In the Philippines, despite 
domestic pressure to take a tougher stance on China, President Rodrigo 
Duterte has said Manila had chosen to ignore the ruling – secured by his 
predecessor Benigno Acquino – to pursue joint oil exploration with Beijing.But observers say Indonesia will not be as accommodating.“Sure, we have good economic and financial ties with China, but the issue 
is perceived differently domestically in Indonesia,” said Evan Laksmana, a 
researcher at Jakarta’s Centre for Strategic and International Studies. 
“The government, political elites and society are all rallying behind 
taking a stronger stance. No one wants to be seen as trading economic goods 
for sovereign rights in the water.”Beijing should be concerned about losing friends among Asean nations over 
its disregard for the tribunal ruling, said Hiep at ISEAS.China’s assertive behaviour in the sea could mean Southeast Asian nations 
would be unwilling to come to its aid in the event of a confrontation with 
the US, said Hiep. “China has focused on flexing its muscles and forced 
other Asean claimant states to react strongly,” said Hiep.“Beijing should refine its approach to advance its national interests while 
not losing the good friends and partners it has in the South China Sea 
region.”{"@context":"https://schema.org","@type":"ImageObject","caption":"Chinese 
naval forces take part in a military display in the South China Sea. Photo: 
Reuters","url":"https://img.i-scmp.com/cdn-cgi/image/fit=contain,width=1024,format=auto/sites/default/files/d8/images/methode/2020/01/18/2ef147c0-384a-11ea-9933-e21be988cd59_1320x770_213517.JPG"}Chinese 
naval forces take part in a military display in the South China Sea. Photo: 
ReutersKEEP TO THE CODEThe Code of Conduct for the South China Sea could be the best chance for 
Asean nations to short-circuit the spiral of escalatory behaviour and 
mistrust over the maritime disputes which had led to increased arms sales 
and fears of confrontation in the region, said Zhang Baohui, professor of 
political science at Lingnan University in Hong Kong. “If they can achieve 
a robust Code of Conduct, Asean nations can afford to trust other countries 
more,” said Zhang.A draft negotiating text of the code was put forth in 2018, with the aim of 
agreement by 2022. Moving negotiations forward is widely expected to be a 
central focus of Vietnam’s Asean chairmanship this year.Former Singapore foreign minister George Yeo said in a speech in Hanoi this 
month that “whether the code between Asean and China can be signed in 
Brunei [in 2021] depends a great deal on the progress made this year under 
Vietnam’s chairmanship”.“Historically, the South China Sea has been the link between Southeast Asia 
and China,” said Yeo. “The sea connected us, it never divided us.”But while they hoped for a multilateral solution, nations in Southeast 
Asia, especially those with claims in the South China Sea, were still 
hedging by building up their militaries, said Zhang.One aspect under consideration in the code could forbid military operations 
as well as oil exploration in the area by outsiders without the unanimous 
consent of all Asean states plus China, which some observers say would 
effectively give China veto power over military activities and resource 
exploration in the waters.This would mean other powers looking to establish an economic or military 
presence in the area – including the US, Japan and Australia – would need 
Beijing’s approval, hampering Washington’s efforts to counter China’s 
growing influence in the region.Beijing has preferred a bilateral approach to resolving disagreements.Since the 2016 ruling, China and the Philippines under Duterte have engaged 
in a bilateral consultation mechanism on the South China Sea. China also 
set up bilateral talks with Malaysia in September last year following 
tensions over their overlapping claims.“China has shown it has a more tailored approach to individual Southeast 
Asian states, no single playbook or one-size-fits-all approach,” said 
Laksmana.Ding Duo, assistant research fellow at the National Institute for South 
China Sea Studies, said the code could also keep disputes between Asean 
nations and China between the parties involved, rather than have them come 
under the purview of international institutions.{"@context":"https://schema.org","@type":"ImageObject","caption":"Asean 
leaders pose for a photo at the bloc’s 35th Summit. Photo: 
AFP","url":"https://img.i-scmp.com/cdn-cgi/image/fit=contain,width=1024,format=auto/sites/default/files/d8/images/methode/2020/01/18/7ce9f6c6-2bc4-11ea-8334-1a17c6a14ef4_1320x770_213517.JPG"}Asean 
leaders pose for a photo at the bloc’s 35th Summit. Photo: AFP“One of China’s main goals in the region is to resolve the territorial and 
maritime disputes peacefully and properly through direct negotiation 
between parties,” said Ding.The code could formalise this arrangement and keep disputes at the 
bilateral level.“The whole idea of the code is meant to show that South China Sea disputes 
should be resolved and managed by Asia only, and outsiders are not 
welcome,” said Koh at RSIS. “The code is meant to showcase and propagate 
this narrative.”ASEAN, DIVIDEDComplicating matters is a maritime dispute between Indonesia and Vietnam, 
which flared up early last year when a Vietnamese fishing surveillance 
vessel rammed an Indonesian navy ship.Indonesia’s former fisheries minister Susi Pudjiastuti had a policy of 
sinking boats found illegally within Indonesian waters, and more than half 
of the vessels destroyed under this policy belonged to the Vietnamese. 
Observers say the two are not likely to patch up the relationship any time 
soon.{"@context":"https://schema.org","@type":"ImageObject","caption":"Indonesia's 
former fisheries minister Susi Pudjiastuti: she blew minds, and boats. 
Photo: 
Reuters","url":"https://img.i-scmp.com/cdn-cgi/image/fit=contain,width=1024,format=auto/sites/default/files/d8/images/methode/2020/01/18/9441beac-3877-11ea-9933-e21be988cd59_1320x770_213517.JPG"}Indonesia's 
former fisheries minister Susi Pudjiastuti: she blew minds, and boats. 
Photo: ReutersOther neighbours may be ambivalent on the issue. Because Cambodia and Laos 
do not have claims in the South China Sea, they are seen as being unlikely 
to side against Beijing, especially because both receive substantial 
Chinese aid.Analysts are hoping a repeat of the 2012 summit, the first time it failed 
to produce a communique, can be avoided. In a low point for Asean unity, 
Cambodia during its chairmanship that year sided with China to block a 
joint communique that would have addressed the bloc’s differing viewpoints 
on the South China Sea.Each Asean nation has its own relationship with China, and even the 
situations of claimant states in the South China Sea vary widely.Experts say Asean’s disunity will keep individual nations dealing with 
China on a bilateral basis – which could prevent the bloc from adopting a 
unified voice against China’s behaviour in the South China Sea, and make it 
difficult to get consensus on the Code of Conduct.Beijing has historically been able to rely on Myanmar’s support. This week, 
Chinese President Xi Jinping visited Myanmar to mark 70 years of diplomatic 
ties and shore up economic cooperation.“Myanmar is far from the South China Sea, Laos is landlocked, and Cambodia 
doesn’t see the South China Sea as important as Chinese economic aid and 
investments,” said Koh.“These diverse interests and approaches make it hard to take a united 
stance – the idea of a unified Asean stance on South China Sea issues is 
more aspirational. That won’t stop other countries from pushing for 
consensus on some issues, but it’s a tall order.”China has deepened its economic engagement with the region, becoming the 
third-largest source of foreign direct investment last year. Experts also 
say Southeast Asian nations will not want to jeopardise the vital economic 
ties.Zhang Baohui said: “Obviously Vietnam has a lot at stake, but that doesn’t 
apply to all the other Asean countries. If they join Vietnam on this issue, 
that would effectively mean changing their China policy, and, from their 
perspective, why should they? They value their good relations with China.” ■ Purchase the China AI Report 2020 brought to you by SCMP Research and 
enjoy a 20% discount (original price US$400). This 60-page all new 
intelligence report gives you first-hand insights and analysis into the 
latest industry developments and intelligence about China AI. Get exclusive 
access to our webinars for continuous learning, and interact with China AI 
executives in live Q&amp;A. Offer valid until 31 March 2020.</t>
  </si>
  <si>
    <t>Duterte’s trip – his second since taking office in 2016 – was just one of 
many recent meetings between Russian and Southeast Asian heads of state 
that have come amid a drive by Moscow to strengthen ties with its eastern 
neighbours.{"@context":"https://schema.org","@type":"ImageObject","caption":"Russian 
President Vladimir Putin is courting Southeast Asia. Photo: 
AP","url":"https://img.i-scmp.com/cdn-cgi/image/fit=contain,width=1024,format=auto/sites/default/files/d8/images/methode/2019/10/12/d1fd8376-eb55-11e9-9e8e-4022fb9638c4_1320x770_160832.JPG"}Russian 
President Vladimir Putin is courting Southeast Asia. Photo: APRussia has over the past two decades engaged with the region bilaterally 
and through various forums such as the Association of Southeast Asian 
Nations (Asean) and the Shanghai Cooperation Organisation. But Putin’s 
first state visit to Singapore last November sent a clear signal of 
Moscow’s focus on the region.He attended the 31st East Asia Summit – a meeting between Asean leaders and 
eight dialogue partners – for the first time and, after that, Asean signed 
a memo to boost trade with the executive body of the Russia-led Eurasian 
Economic Union.This month, Singapore firmed up a free-trade agreement with the Eurasian 
Economic Union and, in May, Vietnam’s Prime Minister Nguyen Xuan Phuc 
visited Moscow to mark 70 years of diplomatic ties.Last month, Malaysian Prime Minister Mahathir Mohamad headed to Vladivostok 
for the Eastern Economic Forum, an annual platform that Russia has used to 
woo investments to develop its far eastern reaches and the Arctic region.Asian leaders have been warmly welcomed at this forum, with attendees in 
recent years including India’s Prime Minister Narendra Modi, Japan’s leader 
Shinzo Abe and Chinese President Xi Jinping.{"@context":"https://schema.org","@type":"ImageObject","caption":"Japanese 
Prime Minister Shinzo Abe meets Russian President Vladimir Putin at the 
Asean summit in Singapore last November. Photo: 
EPA","url":"https://img.i-scmp.com/cdn-cgi/image/fit=contain,width=1024,format=auto/sites/default/files/d8/images/methode/2019/10/12/509094d6-eb55-11e9-9e8e-4022fb9638c4_1320x770_160832.JPG"}Japanese 
Prime Minister Shinzo Abe meets Russian President Vladimir Putin at the 
Asean summit in Singapore last November. Photo: EPAAnalysts say Russia’s efforts to build links across the region are part of 
its policy of diversification, as it boosts trade and grows its economy, 
which is the world’s 12th-largest at US$1.6 trillion (US$21 trillion for 
the US and US$14 trillion for China), according to the International 
Monetary Fund.Said researcher Sharana Rajiv of the New Delhi-based Carnegie India: 
“Russia’s focus on the east marks a shift from a focus on the European side 
of Russia’s borders. Moscow recognises it can’t just have an undeveloped 
hinterland on its border with Asia.”{"@context":"https://schema.org","@type":"ImageObject","caption":"Click to 
enlarge.","url":"https://img.i-scmp.com/cdn-cgi/image/fit=contain,width=1024,format=auto/sites/default/files/d8/images/methode/2019/10/12/c62fb382-ec24-11e9-9e8e-4022fb9638c4_972x_160832.jpg"}Click 
to enlarge.But underlying Moscow’s activist posture on foreign policy is also a bid to 
push against Western initiatives to contain Russia through sanctions and 
diplomatic isolation.Chris Cheang, a former diplomat from Singapore in Moscow, in a commentary 
for Nanyang Technological University’s S. Rajaratnam School of 
International Studies, where he is a senior fellow, said the Eastern 
Economic Forum, for instance, “served to again underline that perceived 
Western attempts to isolate Russia have failed”.While Russia may no longer have the superpower status of the United States, 
or more recently China, it still maintains ambitions of expanding its 
geopolitical influence.Moscow has been accused of meddling in the 2016 US election and, earlier 
this week, The New York Times reported that Western security officials had 
determined there was an elite group known as Unit 29155 inside the Russian 
intelligence system executing a coordinated campaign to destabilise Europe.Dmitry Gorenburg, an associate at Harvard University’s Davis Centre, said 
Moscow had adopted a “zero-sum” view in its approach to relations with 
Southeast Asian nations.“To the extent they can take one of the US’ closest allies and drive a 
wedge in that relationship, that’s a benefit,” Gorenburg said.LOOKING EASTIn 2010, Putin declared Russia would “turn to the east” and step up its 
engagement with Asia.The policy had its roots in boosting growth in the face of Western 
sanctions, and was also a way of continuing to cooperate, not compete, with 
China. Sino-Russian ties represented “the greatest success of Putin’s 
foreign policy”, said Bobo Lo, a non-resident fellow at Australian think 
tank Lowy Institute, in a recently published paper, adding that “the 
current level of cooperation is unprecedented”.Lo noted that Putin and Xi had met each other more frequently than any 
other two international leaders – citing a comment from Putin where he said 
he had met Xi almost 30 times in the past six years – while bilateral trade 
had crossed the US$100 billion mark, with military cooperation reaching new 
heights.But despite the Kremlin continuing to make common cause with Beijing, it 
was also ensuring that it was not trapped in the shadows of a 
“Beijing-first agenda”and this had fuelled a surge in diplomacy across 
Asia, Lo added.Among other things, Moscow had continued discussions with Tokyo over the 
disputed Kuril Islands, reached out to both North and South Korea, stepped 
up ties with Central Asian republics and strengthened its economic 
relationship with India, he said.“The Kremlin is not so naive as to think that better relations with Japan 
or India will help contain the rise of China, and it is especially careful 
to avoid giving Beijing this impression.“Still, it understands the importance of expanding its options, while 
gently reminding Beijing not to take Russia for granted,” Lo wrote in the 
paper, titled Once More with Feeling: Russia and the Asia-Pacific.{"@context":"https://schema.org","@type":"ImageObject","caption":"Russia is 
even showing signs of compromising in its dispute with Japan over the Kuril 
Islands. Photo: 
Alamy","url":"https://img.i-scmp.com/cdn-cgi/image/fit=contain,width=1024,format=auto/sites/default/files/d8/images/methode/2019/10/12/d6ec6938-eb55-11e9-9e8e-4022fb9638c4_1320x770_160832.JPG"}Russia 
is even showing signs of compromising in its dispute with Japan over the 
Kuril Islands. Photo: AlamyRussia’s focus on Southeast Asia has yielded some results. Trade between 
Russia and Asean nations grew from US$18 billion in 2017 to US$19 billion 
last year and reached nearly US$10 billion in the first half of this year, 
a 30 per cent increase over the same period last year, according to 
official statistics.Much of this comes from arms sales. Russia is the world’s second-largest 
arms exporter after the US, and Southeast Asia accounted for more than 12 
per cent of its arms exports between 2013 and 2017 – nearly twice as much 
as a decade ago.For the Asean countries, part of the attraction of buying from Moscow is 
that, having borrowed from China’s playbook, it has taken a stance of 
non-interference in the domestic affairs of partner nations. It promises 
trade, investment and arms sales without ideological strings attached.{"@context":"https://schema.org","@type":"ImageObject","caption":"Russian 
arms come with no strings attached. Photo: 
AFP","url":"https://img.i-scmp.com/cdn-cgi/image/fit=contain,width=1024,format=auto/sites/default/files/d8/images/methode/2019/10/12/7c482890-e98f-11e9-9e8e-4022fb9638c4_1320x770_160832.JPG"}Russian 
arms come with no strings attached. Photo: AFPSaid Cheang: “It’s obvious given the current situation in which the trade 
and political relationships between China and the US are tense, the Asean 
countries would look at other major powers to enhance their economic and 
political links.”Naturally, they would be drawn to those major powers that did not interfere 
in their affairs, he added.SOURCE OF SUPPORTAsean nations have other motivations for strengthening ties, too, 
especially as they grapple with uncertainties caused by the US-China tariff 
war and ongoing disputes in the South China Sea.In its deepening relationship with Malaysia, Russia has been offering not 
only to strengthen economic ties but also to share expertise and aerospace 
technology. Mahathir has invited Russia to invest in Malaysia’s educational 
system, and at the Eastern Economic Forum last month warmly received a 
proposal by Russia to establish an aerospace university in Malaysia.{"@context":"https://schema.org","@type":"ImageObject","caption":"The Lan 
Tay gas platform in the South China Sea, operated by Rosneft Vietnam. 
Photo: 
Reuters","url":"https://img.i-scmp.com/cdn-cgi/image/fit=contain,width=1024,format=auto/sites/default/files/d8/images/methode/2019/10/12/63a1e114-eb56-11e9-9e8e-4022fb9638c4_1320x770_160832.JPG"}The 
Lan Tay gas platform in the South China Sea, operated by Rosneft Vietnam. 
Photo: ReutersIn the case of Vietnam, it has courted Russia as a partner in oil and gas 
exploration in the contested waters of the South China Sea.In May, Hanoi drew Beijing’s ire by licensing the expansion of an oil 
drilling project to Russia’s state-owned energy firm Rosneft. Following the 
move, Hanoi claims that China has sent its ship Haiyang Dizhi 8 into its 
territorial waters on at least three occasions.Rajiv at Carnegie India said Rosneft’s involvement in the project showed 
Moscow might be willing to stand up to Beijing in Southeast Asia if its own 
interests were affected.“Even though it has a neutral stance on the South China Sea, Russia is 
showing that, where its own interest is being affected, it will still move 
forward on practical areas of cooperation,” Rajiv said.“This might open up opportunities of how Russia might behave in the future.”Rosneft also has a deal with Indonesia’s state-owned oil company Pertamina 
to build an US$8.8 billion refinery in Indonesia, and is in talks on 
various projects with the Philippines.Putin has expressed a desire to double bilateral trade with Indonesia, 
which stood at US$2.5 billion in 2017, by next year. From 2000 to 2017, 
Indonesia accounted for 10 per cent of Russia’s arms exports to the region.In the Philippines, ties with Moscow have been a focal point of the 
“independent foreign policy” Duterte has pursued since taking office, 
steering his nation away from traditional partners such as the US to focus 
on better relations with others, including China.{"@context":"https://schema.org","@type":"ImageObject","caption":"Philippine 
President Rodrigo Duterte attends a wreath-laying ceremony at the Tomb of 
the Unknown Soldier in Moscow, Russia. Photo: 
AP","url":"https://img.i-scmp.com/cdn-cgi/image/fit=contain,width=1024,format=auto/sites/default/files/d8/images/methode/2019/10/12/73303d6a-e98f-11e9-9e8e-4022fb9638c4_1320x770_160832.JPG"}Philippine 
President Rodrigo Duterte attends a wreath-laying ceremony at the Tomb of 
the Unknown Soldier in Moscow, Russia. Photo: APThat shift has been welcomed by Putin, who is eager to draw away 
Washington’s allies.This week, Duterte confirmed he and Putin had discussed energy exploration 
in waters claimed by the Philippines near the disputed Spratly Islands.LIMITS TO THE DALLIANCEThe Philippines – which together with Thailand are America’s only two 
defence treaty allies in Asean – risks US sanctions under a 2017 law if it 
goes ahead with weapons purchases from Russia’s main arms export entity 
Rosoboronexport.Further risking Washington’s ire, during his trip to Moscow this week 
Duterte said the Philippines stood ready to cooperate on counterterrorism 
efforts with Russia, while agreements were also signed for information 
sharing between Russian and Philippine businesses.Analysts warn that the US sanctions, which apply not just to treaty allies 
but also to any nation trading with Russia’s defence and intelligence 
sectors, are a consideration for Asean nations in drawing close to Moscow.“The current state of Russia-US relations must surely be a factor that any 
Asean country must take into account when considering the extent to which 
it ought or would like to go in further building links with Russia,” said 
Cheang at RSIS in Singapore.Experts say Asean nations will continue to be pragmatic in their approach 
to Russia – willing to increase economic engagement and buy Russian arms, 
but wary of trusting Moscow as a counterweight to Beijing’s growing 
influence.Gorenburg at Harvard said: “There is an important economic relationship 
[between Russia] and a number of countries, but it is largely transactional.“It is in the interest of each nation to develop its bilateral 
relationship, but it may not have larger implications beyond trade.”{"@context":"https://schema.org","@type":"ImageObject","caption":"A 
Filipino fisherman sails past a Russian tanker off the coast of Manila. 
Photo: 
AFP","url":"https://img.i-scmp.com/cdn-cgi/image/fit=contain,width=1024,format=auto/sites/default/files/d8/images/methode/2019/10/12/b4af6f88-eb54-11e9-9e8e-4022fb9638c4_1320x770_160832.JPG"}A 
Filipino fisherman sails past a Russian tanker off the coast of Manila. 
Photo: AFPDespite the jump in trade and arms sales, analysts say Southeast Asian 
nations are unlikely to rely on Russia as a security partner because of 
doubts about Moscow’s ability to stand up to Beijing on the issues that 
matter most to them, such as territorial encroachment in the South China 
Sea.Russia’s interest in Asia is focused first and foremost on China, analysts 
say, preventing Moscow from adopting any stance in Southeast Asia that 
might antagonise this relationship.Embroiled in its own economic and defence challenges and seeking to 
cultivate its own relationship with Beijing, Russia lacks the resources, 
political will and interest to meaningfully compete for influence in Asean, 
they say.As Cheang at RSIS in Singapore put it: “Russia’s energy resources and 
weapons sales can’t replace or compete with the wide variety of goods and 
services, technological and other products that China, the US and the major 
Western countries, Japan, South Korea and India provide to the Asean 
countries.”Gorenburg said scepticism over Russia’s capacity to back them up meant 
Asean nations would be unwilling to rely too heavily on Moscow.“There’s legitimate concern in these nations that when the chips are down 
they would not be able to depend on Russia to support them vis-à-vis 
China,” Gorenburg said. ■</t>
  </si>
  <si>
    <t>Spanning hundreds of acres in Qinzhou, Guangxi province, the site was 
chosen to best serve the company’s geologically diverse clients. The first 
phase was put into production just over a year ago, and two phases remain, 
at a total cost of 33 billion yuan over an undisclosed number of years.“It can be used as a bridgehead to connect overseas resources and 
logistics,” Hu Peihong, general manager of the CNGR base, told a media 
delegation in May. “We built and operated the industrial base [phase one] 
in such a short period of time so we can work with overseas partners and 
replicate it quickly out of China.”One of the benefits is that shipping from the Chinese port city of Qinzhou 
to the Vietnamese industrial gateway of Hai Phong now takes just half a day.In August 2019, when Beijing unveiled plans for a land-sea corridor in 
western China, it was largely regarded as yet another export-facilitation 
and revival initiative for China’s less-developed western region.China’s policymakers had high hopes that coastal factories would relocate 
to inland provinces, lured by government incentives and cheaper labour 
costs, while their competitiveness would still be maintained with fast 
transport links to the nearest seaports.Today, rail links and infrastructure projects have created a trade and 
logistics passage bridging western China with the Association of Southeast 
Asian Nations. And an economic rim around the Beibu Gulf – also known as 
the Gulf of Tonkin – serves as a testament to China-Asean cooperation.Compared with the previous shipping choices of Shanghai or Guangzhou, Beibu 
Gulf ports – Qinzhou, Fangchenggang and Beihai – offer a shortcut for 
manufacturers around those regions.However, this rush by many Chinese firms like CNGR to set up factories 
close to Asean countries also reflects a new reality – a growing number of 
labour-intensive manufacturers, such as electronics factories, have moved 
to Southeast Asia to avoid punitive US tariffs slapped on Chinese goods 
since 2018, and as Washington is still trying to replace China in key 
supply chains. 
{"@context":"https://schema.org","@type":"VideoObject","contentUrl":"https://www.youtube.com/embed/TAmNKg2zBxY?wmode=transparent&amp;jqoemcache=UdCOW&amp;enablejsapi=1&amp;playsinline=1","description":"An 
unwinnable conflict? The US-China trade war, 5 years 
on","duration":"PT14M45S","embedUrl":"https://www.scmp.com/economy/china-economy/article/3227769/china-eyes-asean-trade-ties-members-fear-geopolitical-trap-us-also-seeks-regional-influence","name":"An 
unwinnable conflict? The US-China trade war, 5 years 
on","thumbnailUrl":["https://cdn.i-scmp.com/sites/default/files/d8/video/thumbnail/2023/04/20/Explainer_thu_clean.jpg","https://cdn.i-scmp.com/sites/default/files/styles/wide_landscape/public/d8/video/thumbnail/2023/04/20/Explainer_thu_clean.jpg?itok=HZykIMRq","https://cdn.i-scmp.com/sites/default/files/styles/768x768/public/d8/video/thumbnail/2023/04/20/Explainer_thu_clean.jpg?itok=bEQY8OvQ"],"uploadDate":"2023-07-14T22:00:45.000Z"}{"@context":"https://schema.org","@type":"ImageObject","url":"https://cdn.i-scmp.com/sites/default/files/styles/wide_landscape/public/d8/video/thumbnail/2023/04/20/Explainer_thu_clean.jpg?itok=HZykIMRq"}14:45An 
unwinnable conflict? The US-China trade war, 5 years onAn unwinnable 
conflict? The US-China trade war, 5 years onMeanwhile, efforts to tap American or European markets are hindered by 
“de-risking” attempts in a time of international financial hardships and 
slow economic recovery following the pandemic.“A China-Asean common market is needed for both sides to respond to 
external challenges engendered by increasingly severe deglobalisation and 
geopolitical upheavals,” said Zheng Yongnian, director of the Advanced 
Institute for Global and Contemporary China Studies under the Chinese 
University of Hong Kong in Shenzhen.Zheng, a prominent political scientist advocating for China’s rise on the 
global stage, was one of a few experts attending the symposium hosted by 
President Xi Jinping in August 2020 to explain China’s shift to an 
inward-facing “dual-circulation strategy” – a term that Beijing would go on 
to frequently use to highlight the need for self-sufficiency in the face of 
worrisome internal and external conditions.The economic integration will provide Chinese companies with greater market 
space to absorb manufacturing capacity and facilitate the use of Chinese 
capital, technology, management and standards in the common market of 2 
billion people, Zheng said at the China-Asean Economic Relations Seminar in 
late May in Guangzhou.The 10-member Asean – a market of 600 million people – has surpassed the US 
and European Union to become China’s top trading partner.Working together, the two sides can ensure that Asian economies remain at 
the centre of global goods trades while working to stabilise global 
industrial, supply and value chains, Zheng added.Former deputy commerce minister Wei Jianguo said at the same seminar that a 
common market in Asia could restructure global production factors and 
reshape global economic structure and competition landscape.“It is foreseeable that the formation of such a common market would leave 
markets in Europe and the United States far behind, regardless of the 
rules, laws and overall scale of users,” he said.China was a big beneficiary of globalisation, becoming the world’s factory. 
However, geopolitical fragmentation – the Russia-Ukraine war, a strategic 
partnership between Beijing and Moscow, the US and the EU’s derisking from 
China – could reshape global manufacturing, trade and investment, 
potentially dividing the global production into three sub-centres: North 
America, Europe and Asia.The 10-member Asean – a market of 600 million people – has surpassed the US 
and European Union to become China’s top trading partner.However, China is not the only player in the region, as the US is also 
promoting its Indo-Pacific Economic Framework (IPEF), which comprises 14 
Asia-Pacific countries, including Vietnam, Thailand, Malaysia, Philippines, 
Singapore and Brunei.The push for regional infrastructure connectivity, including efforts 
through the Belt and Road Initiative and the Asian Infrastructure 
Investment Bank, is considered vital in proposals for a common market 
between China and Asean, especially when its relations with the US are 
expected to remain chilled.The current land-sea corridor programme, which can already enable western 
Chinese provinces to closely link with Asean members and send their cargo 
to 107 countries and regions, is a crucial step in facilitating trade, 
investment and transport flows.Beijing has said it intends to increase the regional sea-rail transport 
capacity to 500,000 twenty-foot equivalent units (TEUs) by 2025, while 
raising the total number of cross-border freight trains to 2,000. Container 
throughput at Beibu Gulf ports in Guangxi, and at Yangpu Port in Hainan 
province, is set to reach 10 million TEUs and 5 million TEUs, respectively, 
by 2025.Enhancing transport capacity has moved higher on Beijing’s priority list 
because the Beibu Gulf ports and the whole Guangxi region sit well at the 
junction between China’s domestic and international circulations, and a new 
initiative is anticipated to lead to regional supply-chain restructuring.“It has become an important engine for the economic development and 
opening-up of western regions,” Meng Wei, spokeswoman of the National 
Development and Reform Commission, said about the construction progress.The top economic planner vowed to expand large-scale transport capacity as 
soon as possible, including land-sea transport, road-rail linkage or 
international rail freight transport. It also pledged to optimise 
industries and promote economic integration along the corridor.“We need to persistently expand its range of influence, and keep enlarging 
its circle of friends,” Meng said at a media briefing in Beijing on June 16.China and Asean are now in a win-win situationZhou JinzhuTrade and investment often come on the heels of infrastructure connectivity.By last year, China’s trade with the 10-nation Southeast Asian block had 
jumped to US$975.3 billion – way up from US$641.5 billion in 2019. Both are 
highly connected through trade as each other’s largest trading partner. 
Asean accounted for 15.7 per cent of China’s total international trade from 
January-April.“China and Asean are now in a win-win situation,” said Zhou Jinzhu, a 
researcher under the China Council for the Promotion of International 
Trade, a semi-official agency to promote Chinese trade and investment 
globally.Southeast Asia’s main exports to China include electronic and electrical 
equipment, minerals and fuel, and Asean gets mechanical equipment, 
electronic products, clothing and textiles from China. 
{"@context":"https://schema.org","@type":"VideoObject","contentUrl":"https://www.youtube.com/embed/tfZw2O18NHA?wmode=transparent&amp;jqoemcache=UdCOW&amp;enablejsapi=1&amp;playsinline=1","description":"China 
and Asean renew agreement to develop code of conduct for South China 
Sea","duration":"PT2M43S","embedUrl":"https://www.scmp.com/economy/china-economy/article/3227769/china-eyes-asean-trade-ties-members-fear-geopolitical-trap-us-also-seeks-regional-influence","name":"China 
and Asean renew agreement to develop code of conduct for South China 
Sea","thumbnailUrl":["https://cdn.i-scmp.com/sites/default/files/d8/video/thumbnail/2023/07/14/clean_0.jpg","https://cdn.i-scmp.com/sites/default/files/styles/wide_landscape/public/d8/video/thumbnail/2023/07/14/clean_0.jpg?itok=bdK19q-p","https://cdn.i-scmp.com/sites/default/files/styles/768x768/public/d8/video/thumbnail/2023/07/14/clean_0.jpg?itok=PeyVzi5C"],"uploadDate":"2023-07-14T22:00:45.000Z"}{"@context":"https://schema.org","@type":"ImageObject","url":"https://cdn.i-scmp.com/sites/default/files/styles/wide_landscape/public/d8/video/thumbnail/2023/07/14/clean_0.jpg?itok=bdK19q-p"}02:43China 
and Asean renew agreement to develop code of conduct for South China 
SeaChina and Asean renew agreement to develop code of conduct for South 
China SeaChina’s direct investment in Asean increased by more than 20 per cent in 
the first four months of this year, while more than 200,000 Chinese 
enterprises have invested in the region and offer hundreds of thousands of 
local jobs, Zhou said.The infrastructure push has also seen more transport links at border 
regions and international freight trains reaching Vietnam, Cambodia and 
Thailand.Some new signs of progress are occurring in border areas, showing that 
cross-border industrial chains are expanding, including parts production 
and transport.More than a dozen new companies have landed in industrial parks of 
Dongxing, a small border town in Guangxi, since late last year, including 
makers of electronic products, environmentally friendly plates, and 
eyeglass lenses, said Chen Xiao, director of the Dongxing Port Service 
Centre in Guangxi.From 2018, a large number of electromechanical products went to Vietnam 
through the land checkpoints of Guangxi and were then turned into finished 
products in Vietnam.Once finished, many are sent back to the Chinese market, and some are 
exported to Europe and the United States through the ports of Vietnam, 
according to Huang Yonghui, a senior consultant with the Development and 
Reform Commission of Guangxi.He estimates that the trade volume will increase further, with the 
development of the Land-Sea Trade Corridor.“In the past, it took about 27 days to reach Singapore and other Southeast 
Asian cities from west China, like Chongqing, via the Yangtze River, and 
Shanghai Port, but now it takes only about seven days to reach Singapore 
Port via the corridor, and the freight rate is basically the same,” he said.Bob Wang, the founder of TWT Supply China, which has more than 3,000 
contracted heavy-duty trucks in the border city of Pingxiang, Guangxi, said 
there has been an ever-expanding range of finished and semi-finished 
products travelling between China and Asean nations.“Fruits, electronics, products sold in new cross-border e-commerce, textile 
products … Meanwhile, processing bases of Samsung, Apple, Nike, Adidas and 
Foxconn are now located in northern Vietnam, but their raw materials, 
semi-finished products and packaging materials are all inseparable from the 
supply of China and need to be transported from China every day,” he said.Chinese businessmen such as Wang are also planning new business 
opportunities to tap into the emerging middle class of Asean members.“We have created many TikTok accounts and attracted nearly 50 million 
followers by sharing various translated Chinese films and TV shows. We will 
soon live-stream Chinese goods to attract these Southeastern Asian users,” 
he said.A restaurant manager in Pingxiang said that a growing number of Vietnamese 
people travel across borders to consume every day. “We are looking forward 
to a boom of cross-border tourism as more ordinary people of developing 
Asean countries are getting rich.”But despite Beijing’s considerable enthusiasm for enhanced ties, the 
Southeast Asian bloc should maintain its neutrality as a prerequisite for 
implementing recent cooperation initiatives with China, like a free-trade 
area between Asean and China or the 15-member Regional Comprehensive 
Economic Partnership (RCEP), said Veronika Saraswati, a fellow with 
Indonesia’s Centre for Strategic and International Studies.The US-China competition affects peace and stability in the region and has 
made Asean more divided than unified, losing its centrality in the region, 
Duong Van Huy, director of the Department of Insular Southeast Asian 
Countries Studies with the Vietnam Academy of Social Sciences, said at the 
Guangzhou seminar late last month.“The US remains an important security provider in Southeast Asia, while the 
Asean economy is largely dependent on China,” he said.“So, Asean members, like Vietnam, are concerned about falling into a 
geopolitical trap and are not in a position to lean towards the US against 
China, and vice versa.”</t>
  </si>
  <si>
    <t>On Monday, Communist Party mouthpiece People’s Daily said that the 
Philippines was continually provoking China with “extremely dangerous” 
behaviour that threatened regional stability.Philippine military spokesman Medel Aguilar shot back the next day, 
accusing China of performing dangerous manoeuvres. “They are the ones 
committing all the violations,” Aguilar said on state-run broadcaster PTV.The exchange was indicative of the hardened stances both countries have 
taken over the disputed waters, with neither side showing signs of backing 
down. But while China has long held onto its uncompromising position, the 
Philippines’ increasingly aggressive resistance reflects a shift in policy 
over the dispute after Philippine President Ferdinand Marcos Jnr took 
office last year.In mid-December, Marcos Jnr posted a statement on social media condemning 
“the aggression and provocations perpetrated by the China Coast Guard and 
their Chinese Maritime Militia against our vessels and personnel”, saying 
it “further steeled our determination to defend and protect our nation’s 
sovereignty, sovereign rights, and jurisdiction in the West Philippine Sea”.In addition to this month’s incidents, earlier this year the Philippines 
accused China of firing a laser at its vessels, swarming more than 100 
ships around contested reefs, and building artificial islands within waters 
that it considered to be its territory under international law.While these clashes have received the most attention, Vietnam was 
reportedly involved in a separate incident against China in the waters. In 
May, there were reports of a stand-off between Chinese and Vietnamese naval 
forces after Hanoi attempted to expand its oil drilling operations in the 
area.{"@context":"https://schema.org","@type":"ImageObject","caption":"Tap to 
enlarge","url":"https://img.i-scmp.com/cdn-cgi/image/fit=contain,width=1024,format=auto/sites/default/files/d8/images/canvas/2023/12/29/9498dc0e-a746-4bc5-b60a-46aca4314b8b_55f76f2d.jpg"}Tap 
to enlargeThe incident was highlighted extensively on social media in both countries. 
Neither Hanoi nor Beijing, however, confirmed what happened – the official 
reticence reflecting both sides’ desire to avoid further escalation, 
according to analysts.Vietnam has also been ramping up its dredging and landfill work in the 
Spratly Islands, a disputed archipelago in the South China Sea where China 
has been busy building artificial islands, according to a report by the 
Centre for Strategic and International Studies.Malaysia also entered the fray after its energy projects in the South China 
Sea prompted Beijing to express its concerns. Although Malaysia was 
committed to protecting its territorial rights in the South China Sea, it 
is open to negotiations with China, Prime Minister Anwar Ibrahim said. 
{"@context":"https://schema.org","@type":"VideoObject","contentUrl":"https://www.youtube.com/embed/0MvqJEdZkDQ?wmode=transparent&amp;jqoemcache=UdCOW&amp;enablejsapi=1&amp;playsinline=1","description":"Beijing 
and Manila trade blame over ‘provocative’ moves with ship collisions near 
disputed 
shoal","duration":"PT2M3S","embedUrl":"https://www.scmp.com/week-asia/politics/article/3246702/south-china-sea-beijing-asean-claimant-states-risk-pushing-beyond-grey-zone-between-peace-and-war","name":"Beijing 
and Manila trade blame over ‘provocative’ moves with ship collisions near 
disputed 
shoal","thumbnailUrl":["https://cdn.i-scmp.com/sites/default/files/d8/video/thumbnail/2023/10/23/clean-thumb.jpg","https://cdn.i-scmp.com/sites/default/files/styles/wide_landscape/public/d8/video/thumbnail/2023/10/23/clean-thumb.jpg?itok=H3XNHuAV","https://cdn.i-scmp.com/sites/default/files/styles/768x768/public/d8/video/thumbnail/2023/10/23/clean-thumb.jpg?itok=MIE2qoXd"],"uploadDate":"2023-12-30T01:30:14.000Z"}{"@context":"https://schema.org","@type":"ImageObject","url":"https://cdn.i-scmp.com/sites/default/files/styles/wide_landscape/public/d8/video/thumbnail/2023/10/23/clean-thumb.jpg?itok=H3XNHuAV"}02:03Beijing 
and Manila trade blame over ‘provocative’ moves with ship collisions near 
disputed shoalBeijing and Manila trade blame over ‘provocative’ moves with 
ship collisions near disputed shoalNone of these grey-zone tactics constitute an act of war, but analysts said 
they are part of China’s carefully calculated strategy to strengthen its 
territorial claims over the waters without escalating the conflict.While Beijing has been undertaking similar actions in the South China Sea 
for years, observers have noted a significant increase in the frequency and 
intensity of grey-zone activities in 2023. Marcos Jnr’s increasingly 
confrontational posture and heightened nationalist sentiment in China mean 
neither side is likely to back down and escalation may be inevitable, 
according to analysts.Grey-zone gainsChina claims more than 80 per cent of the South China Sea as its territory 
– demarcated on its maps as a nine-dash line, or, more recently, as a 
10-dash line – based on what it has long maintained as its “historical 
rights”. Beyond the contested versions of history, China has strong reasons 
for wanting to control the waters, which contain some of the world’s most 
valuable shipping lanes, oil and gas reserves, and a significant percentage 
of the planet’s commercial fishing operations.In 2016, the Philippines challenged China’s claims at The Hague’s Permanent 
Court of Arbitration, which ruled that Beijing’s history-based territorial 
claims lacked a legal basis and were contrary to international maritime 
law. China refused to accept the ruling, calling it a “political farce”, 
but said it would work towards a peaceful resolution.Although Chinese officials say negotiations are the most feasible way to 
deal with the South China Sea issue, Beijing has continued to engage in 
frequent grey-zone provocations as a means of strengthening its position.The grey zone approach has delivered gains for China, advancing its 
position in the disputed sea without triggering conflict thus farLucio 
Blanco Pitlo III, Asia-Pacific Pathways to Progress Foundation“The grey zone approach has delivered gains for China, advancing its 
position in the disputed sea without triggering conflict thus far. It 
allowed Beijing to undermine the position of other disputants in contested 
spaces while maintaining deniability,” Lucio Blanco Pitlo III, a research 
fellow at the Asia-Pacific Pathways to Progress Foundation, told This Week 
in Asia.Collin Koh, a senior fellow specialising in defence and strategic studies 
at the S. Rajaratnam School of International Studies in Singapore, said 
this year’s incidents concerning the waters were China’s way of embarking 
on “horizontal escalation”, which has happened more regularly and with 
greater intensity.“It’s so far avoided vertical escalation, which would entail actions that 
it has hitherto avoided such as boarding and inspection of foreign vessels, 
as well as the use of kinetic force,” Koh said.{"@context":"https://schema.org","@type":"ImageObject","caption":"A Chinese 
coastguard vessel is seen from the Philippine-occupied Thitu island, 
locally called Pag-asa island, in the South China Sea on December 1. Photo: 
AP","url":"https://img.i-scmp.com/cdn-cgi/image/fit=contain,width=1024,format=auto/sites/default/files/d8/images/canvas/2023/12/29/e4a7195e-b2b2-434e-94d9-aee0c3cfac21_78353323.jpg"}A 
Chinese coastguard vessel is seen from the Philippine-occupied Thitu 
island, locally called Pag-asa island, in the South China Sea on December 
1. Photo: APAssertive counterstrategyNonetheless, analysts said while China’s actions were carefully calibrated 
to be as disruptive as possible and stopped short of acts of war, avoiding 
conflict might not be China’s ultimate goal.Koh said it is plausible that China’s grey zone tactics “are designed to 
bait the other party into escalation, which would thus free Chinese forces 
to respond in kind – and the use of force would then be legitimised as a 
form of self-defence or response in kind to what the other party does”.It is difficult to know if the frequency of grey zone actions has increased 
in the past year as several incidents involving South China Sea claimants 
have been unpublicised, analysts said. Most of the recent reported 
incidents were based on information released by the Philippine government 
and military.{"@context":"https://schema.org","@type":"ImageObject","caption":"Ferdinand 
Marcos Jnr speaks with China’s Xi Jinping in November. The Philippine 
president has taken a very different tack on the South China Sea issue than 
his predecessor. Photo: 
Instagram/@bongbongmarcos","url":"https://img.i-scmp.com/cdn-cgi/image/fit=contain,width=1024,format=auto/sites/default/files/d8/images/canvas/2023/12/29/498b7887-7b9c-4b7b-b645-8e6626eb1651_83445276.jpg"}Ferdinand 
Marcos Jnr speaks with China’s Xi Jinping in November. The Philippine 
president has taken a very different tack on the South China Sea issue than 
his predecessor. Photo: Instagram/@bongbongmarcosThis was because Marcos Jnr is taking a very different tack than his 
predecessor, Rodrigo Duterte, when it comes to their country’s relations 
with China, particularly over the South China Sea. Duterte was known for 
his China-friendly stance, which led him to look the other way when it came 
to the Chinese coastguard’s hostile activities in the South China Sea while 
Marcos Jnr is more forceful in defending Manila’s territorial claims, 
according to analysts.“When Duterte was president, his tendency to keep incidents in the South 
China Sea under wraps quickly facilitated China’s grey zone actions with 
minimal consequences,” Koh said.Other Asean countries with interest in the disputed waters, such as 
Indonesia and Malaysia, have preferred to keep the issue “low profile” due 
to their significant trade with China.Analysts said one of the main reasons why Chinese grey-zone actions have 
appeared more frequent this year is because the Marcos Jnr administration 
has been eager to name and shame Beijing each time they happened.It is part of Manila’s policy that Koh has dubbed “assertive transparency”, 
which seeks to counter China’s tactics by making it incur reputational 
damage for its provocations while winning international support.John Bradford, executive director of the Yokosuka Council on Asia-Pacific 
Studies, argued the dent in China’s image has been significant. “By 
blatantly disregarding international law and showing its readiness to push 
around its neighbours, China has shown itself as untrustworthy and has 
undermined its opportunities to resolve issues without force.”Is further escalation inevitable?While assertive transparency may be an effective counterstrategy, some 
analysts are wary that it could still lead to escalation rather than 
deterrence.Pitlo said China is “upping the pressure” against the Philippines, possibly 
to induce its neighbour to refrain from publicising and 
“internationalising” the bilateral dispute and instead return to dialogues, 
such as through the Philippines-China Bilateral Consultative Mechanism, and 
regional frameworks like the proposed Asean-China Code of Conduct (COC).Asean and China have been working on finalising a COC for over 20 years. 
However, there has been very little progress so far between the Association 
of Southeast Asian Nations and China on establishing such a mechanism.It is dangerously likely that one of the grey-zone skirmishes could result 
in a collision or deathsJohn Bradford, Yokosuka Council on Asia-Pacific 
StudiesChina has shown a greater willingness to come to the table to negotiate 
this year. However, a recent announcement by the Philippines that it had 
approached Vietnam, Malaysia, and other neighbouring countries to negotiate 
“a mini COC” could enrage China and torpedo its separate COC discussions 
with Asean.Marcos Jnr said that traditional diplomatic efforts have yielded “very 
little progress” and called for a “paradigm shift”, with measures including 
forging more military pacts between the Philippines and other nations.China’s leaders are unlikely to back down on their South China Sea claims, 
particularly as the dispute provides a useful diversion amid the hard 
questions they are facing about the country’s current economic slump, Koh 
said.“When the Communist Party of China’s domestic political legitimacy is at 
stake, given the [potential] breakdown of the social compact that’s based 
on the party and state delivering economic prosperity, it becomes 
imperative to assert its role as guardian of maritime sovereignty and 
rights against external foes – primarily the US and “vassals” such as the 
Philippines,” Koh said.To underscore this stance, President Xi Jinping recently visited the 
Chinese coastguard command HQ to urge its personnel to assert China’s 
maritime rights, he added.As such, the South China Sea dispute could intensify to alarming levels 
next year, according to analysts.“It is dangerously likely that one of the grey-zone skirmishes could result 
in a collision or deaths. Given the attention focused on these issues it 
may be difficult to de-escalate from such a crisis,” Bradford said.Pitlo agreed, saying that “the risk of accidents is high, especially in the 
absence of functional bilateral crisis management tools”. He predicted that 
the Second Thomas Shoal and the Scarborough Shoal would remain key 
flashpoints over the next year.{"@context":"https://schema.org","@type":"ImageObject","caption":"A 
Philippine frigate (front) takes part in a tactical exercise with the USS 
Gabrielle Giffords (back) in the South China Sea in November. Photo: Armed 
Forces of the Philippines via 
AP","url":"https://img.i-scmp.com/cdn-cgi/image/fit=contain,width=1024,format=auto/sites/default/files/d8/images/canvas/2023/12/29/3dd9b8d0-c13d-4228-a4dd-e84da64bd5ef_57a4384d.jpg"}A 
Philippine frigate (front) takes part in a tactical exercise with the USS 
Gabrielle Giffords (back) in the South China Sea in November. Photo: Armed 
Forces of the Philippines via APTensions have also been exacerbated by the increasing US presence in the 
South China Sea, Koh said.“The recent operations of [the US warship] Gabrielle Giffords off the 
Second Thomas Shoal signals that the Americans are willing to play a more 
active role in supporting the Filipinos in asserting their sovereign 
rights,” he said. The warship conducted operations alongside the Philippine 
Navy in the South China Sea a few days before it sailed near the reef on 
December 4, drawing a strong reaction from Beijing.The American actions may be perceived by Beijing as a sign that Washington 
intends to play a more active role in the waters including taking part in 
joint escorts with the Philippines for missions to the Second Thomas Shoal 
or at least positioning US military assets to provide cover to the 
Philippine convoy, Koh said.“We see the South China Sea scenarios for next year are fraught with 
numerous sources of uncertainty and even if the risk of a premeditated 
clash is low, we can’t discount the potential of inadvertent armed 
confrontation.”</t>
  </si>
  <si>
    <t>Qin Shi Huang’s mega project connected Xiang River in Hunan province - a 
tributary of the 6,300km (3,915 mile) Yangtze River – and Li River in south 
China’s Guangxi Zhuang autonomous region.Construction of what would become the 1,800km Grand Canal – the Unesco 
World Heritage site built to link east China’s business hub of Hangzhou and 
the capital city of Beijing – was then completed during the Yuan dynasty 
over 700 years ago.The practical value of this project is worth looking forward toGao ZhendongBut until August, when construction started on the Pinglu Canal, no other 
new canals had been built.The 135km, 72.7 billion yuan (US$10.1 billion) project is seen as not only 
a chance to develop the southwestern border region of Guangxi, but also 
highlights China’s state-of-the-art construction techniques and strategic 
thinking amid a fast changing geopolitical landscape.“The practical value of this project is worth looking forward to,” said Gao 
Zhendong, a veteran consultant who helps Chinese firms explore investment 
opportunities in Southeast Asian countries.“This is equivalent to more capillaries to glue closely together China and 
the Association of the Southeast Asian Nations markets,” Gao added, 
referring to the 10-member Asean bloc.Gao expects heavy two-way flows of cargo as “the cost savings of this 
waterway will be high”.The canal, a signature project in China’s Western land-sea trade corridor 
to reach the Beibu Gulf – also known as the Gulf of Tonkin – and the South 
China Sea, is expected to carry 108 million tonnes of cargo by 2035 and 130 
million tonnes by 2050, according to the environmental impact assessment 
report.It would enable container ships or bulk carriers to sail from the regional 
capital city of Nanning to Vietnam, Malaysia, Singapore, Indonesia and 
other Southeast Asian countries in weeks.It also bears Beijing’s hopes of making the Asean bloc, which has a 
population of 600 million and is already China’s largest trading partner, a 
key to counter the influence of the United States. 
{"@context":"https://schema.org","@type":"VideoObject","contentUrl":"https://www.youtube.com/embed/kZ4afMu9UX8?wmode=transparent&amp;jqoemcache=UdCOW&amp;enablejsapi=1&amp;playsinline=1","description":"China 
launches mega US$10 billion canal project in a bid to help its 
economy","duration":"PT1M52S","embedUrl":"https://www.scmp.com/economy/china-economy/article/3228524/china-widen-asean-trade-first-major-waterway-700-years-will-pinglu-canal-be-game-changer-or-white","name":"China 
launches mega US$10 billion canal project in a bid to help its 
economy","thumbnailUrl":["https://cdn.i-scmp.com/sites/default/files/d8/video/thumbnail/2022/08/31/CLEAN 
Thumbnail_0.jpg","https://cdn.i-scmp.com/sites/default/files/styles/wide_landscape/public/d8/video/thumbnail/2022/08/31/CLEAN 
Thumbnail_0.jpg?itok=LDNUFfxd","https://cdn.i-scmp.com/sites/default/files/styles/768x768/public/d8/video/thumbnail/2022/08/31/CLEAN 
Thumbnail_0.jpg?itok=YLKodlDn"],"uploadDate":"2023-07-23T22:00:18.000Z"}{"@context":"https://schema.org","@type":"ImageObject","url":"https://cdn.i-scmp.com/sites/default/files/styles/wide_landscape/public/d8/video/thumbnail/2022/08/31/CLEAN 
Thumbnail_0.jpg?itok=LDNUFfxd"}01:52China launches mega US$10 billion canal 
project in a bid to help its economyChina launches mega US$10 billion canal 
project in a bid to help its economyBeijing has deepened bilateral cooperation with an annual dialogue 
mechanism, its Belt and Road Initiative and the 15-member Regional 
Comprehensive Economic Partnership, which includes China, the Asean bloc, 
plus South Korea, Japan, Australia and New Zealand.The US, meanwhile, is attempting to push some Southeast Asian countries 
away from China through its Indo-Pacific Economic Framework for Prosperity, 
which the Biden administration launched in May last year.In his meetings with Asean foreign ministers in Jakarta earlier this month, 
China’s top diplomat Wang Yi called for all-round cooperation to deepen the 
bilateral strategic partnership and build a closer community with a shared 
destiny.The two sides have held three rounds of talks since February to update 
their existing free-trade agreement, which will increase the flow of people 
and goods.The international situation is so severe that Chinese enterprises should 
cooperate more closely with AseanHuang YonghuiInfrastructure connectivity is seen as one of the top priorities, as shown 
in Beijing’s Belt and Road Initiative and the Beijing-headquartered Asia 
Infrastructure Investment Bank.Huang Yonghui, a senior consultant with the Guangxi Development and Reform 
Commission, said China needs further dense logistics networks to ensure 
closer bilateral supply chains, as well as economic and trade exchanges.The Pinglu Canal would improve the bilateral infrastructure connectivity 
puzzle, enabling Guangxi to have comprehensive links to the neighbouring 
Southeast Asian markets through road, railway, shipping and flights.“The international situation is so severe that Chinese enterprises should 
cooperate more closely with Asean,” said Huang.“The ports have great prospects in the future.”{"@context":"https://schema.org","@type":"ImageObject","caption":"Pinglu 
Canal project. Photo: 
Weibo","url":"https://img.i-scmp.com/cdn-cgi/image/fit=contain,width=1024,format=auto/sites/default/files/d8/images/canvas/2023/07/21/737f3bfd-b98d-47f4-988f-e141806a1604_8e6dc877.jpg"}Pinglu 
Canal project. Photo: WeiboChina is not alone in reshaping its national strategic development by 
building canals, with both the Suez Canal in Egypt and the Panama Canal 
that connects the Atlantic Ocean with the Pacific Ocean having played 
significant roles in geopolitics over the years.The proposed Thai Canal, also known as Kra Canal or Kra Isthmus Canal, 
would also offer an alternative connection to the from the Malacca Strait 
between the Indian Ocean and the Pacific Ocean via the Gulf of Thailand and 
the Andaman Sea.The idea of the Thai Canal has been discussed for decades since the 
administration of Prime Minister Thaksin Shinawatra in the early 2000s, but 
in China, construction of the Pinglu Canal started quickly.Thousands of workers and engineers are working day and night on its 
construction, while thousands of excavators are pushing to hit the 
completion deadline of 2026.Countries like the Netherlands actually have similar projects, but not as 
large as the Pinglu CanalPan JianCurrently, goods from Western China have to travel to Guangzhou and Hong 
Kong via the Xi River and Pearl River, but after the completion of the 
Pinglu Canal, the voyage from the Western hinterland provinces to the sea 
will be shortened by more than 560km (348 miles).The canal would be able to accommodate vessels of up to 5,000 deadweight 
tonnes – the amount of weight a ship can carry – and has the potential to 
save more than 5.2 billion yuan (US$725 million) in annual transport costs, 
according to official estimates.Once completed, it would be the biggest canal in the world connecting river 
and sea, with a total earthwork excavation of more than 339 million cubic 
metres (12 billion cubic feet) required.“Countries like the Netherlands actually have similar projects, but not as 
large as the Pinglu Canal,” said Pan Jian, deputy head of the canal’s 
command centre, who said the earthwork excavation would be three times that 
of the Three Gorges Dam.{"@context":"https://schema.org","@type":"ImageObject","caption":"A 
construction site of the Pinglu Canal project in Lingshan County, Guangxi 
Zhuang autonomous region. Photo: 
Xinhua","url":"https://img.i-scmp.com/cdn-cgi/image/fit=contain,width=1024,format=auto/sites/default/files/d8/images/canvas/2023/07/21/d44291a8-8d5d-4dbf-9862-333fc8a2b29c_0c42f09f.jpg"}A 
construction site of the Pinglu Canal project in Lingshan County, Guangxi 
Zhuang autonomous region. Photo: XinhuaFacing water stress amid ongoing changing climate concerns, the canal will 
feature the three largest inland water-saving ship locks in the world, 
which aim to handle a drop of around 65 metres (213 feet) between the water 
surface of Xijin Reservoir at the beginning of the Pinglu Canal and the sea 
level of the estuary.The lock at Madao Junction covers 185,000 square metres (2 million sq ft) 
alone, and requires 3.5 million cubic meters of concrete.The design of the locks is also expected to save around 60 per cent of 
water needed, compared to traditional locks.According to Pan, much of the work can only be figured out as the project 
progresses, with no reference model to follow, although new patents and 
construction standards are being developed.“For example, it is required to open the lock’s door within one minute and 
close within half a minute. It needs huge innovative breakthroughs for both 
materials and technology,” Pan said.To fight seawater erosion, builders also need to ensure the concrete used 
in the locks can last for over 100 years.“From the preliminary design stage to the present, we have been carrying 
out research on the mix proportion of concrete with some domestic 
academicians to seek the final standard which could ensure our expected 
goals,” Pan said.Chinese scientists are also conducting mathematical and physical 
simulations to project how the seawater would affect the relocation and 
modification of the local population’s drinking water sources and 
irrigation sites once the canal begins operation.Western regions, including those in Guizhou, Yunnan, and Sichuan provinces, 
may consider forming new industrial belts for the Asean market in the 
futurePeng PengBut while some expect the canal to facilitate more foreign trade, some 
question whether it will be another white elephant project.Cargo throughput via Beibu Gulf Ports in Guangxi grew by 3.7 per cent, year 
on year, to 370 million tonnes last year, which was the 10th highest in the 
country.It also handled 7.02 million twenty-foot equivalent units, up by 16.8 per 
cent year on year, ranking ninth nationwide.The port offers 75 shipping routes, connecting all major ports in Asean 
member countries.“Western regions, including those in Guizhou, Yunnan, and Sichuan 
provinces, may consider forming new industrial belts for the Asean market 
in the future,” said Peng Peng, executive chairman at the Guangdong Society 
of Reform, a government-based think tank.{"@context":"https://schema.org","@type":"ImageObject","caption":"Pinglu 
Canal project. Photo: 
Weibo","url":"https://img.i-scmp.com/cdn-cgi/image/fit=contain,width=1024,format=auto/sites/default/files/d8/images/canvas/2023/07/21/a6a699e3-559c-46eb-9db7-1bf91e11be60_035d9b3e.jpg"}Pinglu 
Canal project. Photo: WeiboBut worries remain about the project due to supply chain and environmental 
factors.“There has been a lack of enough cargo for Fangcheng Port, the biggest 
export port in Guangxi and those highways to West China,” said Raymond Xie, 
who works in the mining and logistics sector in Guangxi province.“In addition, the canal’s upper reaches and water resources are far from 
abundant to match the needs of the canal.”The environmental impact assessment report said the canal will pass through 
five protection zones for drinking water sources, occupy 849.18 hectares 
(2,098 acres) of farmland, 16.56 hectares of non-commercial forest and 13.9 
hectares of wild mangrove forest, as well as having an impact on the 
aquatic ecosystem.The report said the canal would be mainly used for shipping coal, minerals, 
cement, grains, mining and construction materials and containers.Several Chinese environmental protection organisations have publicly 
debated and questioned the ecological impact of the canal.The China Biodiversity Conservation and Green Development Foundation wrote 
to Guangxi’s ecology and environment department in June 2022, saying the 
project’s negative impact on the ecology, especially biodiversity, is 
unquestionable.In addition, the project also threatens the freshwater resources of the 
basin, increases the risk of river shrinkage and siltation – the process of 
blocking something with sand or soil – and exacerbates regional flooding.There will be inevitable impacts on the nearby mangroves and the 
construction authorities need to take this into accountAster LeeThe regional environment watchdog replied that it will protect the ecology 
when developing the canal, without elaborating.There appears to be a new wave of canal construction in China, according to 
Aster Lee, secretary general of the CrossBorder Environment Concern 
Association, with the momentum driven not by economics, but by local 
governments’ impulse for short-term gross domestic product.“Pinglu Canal has its final end at a coastal estuary, home to some mangrove 
wetlands,” Lee said.“When the canal is built and the dredging works are required for making 
shipping channels, there will be inevitable impacts on the nearby mangroves 
and the construction authorities need to take this into account.”</t>
  </si>
  <si>
    <t>The switch in sentiment comes amid growing geopolitical tensions between 
Beijing and Washington, which has thrown its support behind the Philippines 
and other Asean members with territorial claims in the South China Sea.China’s recent push for an agreement may also not be enough to overcome 
chronic differences between Beijing and its neighbours on many crucial 
aspects of a maritime code of conduct in the contested waters, observers 
said.Less than a month after China and the 10 Asean member states agreed to 
start on the third reading of the single draft negotiating text, the 
Philippines unveiled a proposal for a separate pact in November.Dissatisfied with the “rather slow” progress of the talks, President 
Ferdinand Marcos Jnr said the Philippines had approached Vietnam, Malaysia 
and others to discuss their own rules and regulations in the contested 
waters.While none of the parties has confirmed the timetable for the third reading 
of the draft text, they are said to be aiming to complete negotiations 
before Autumn 2026, according to an Associated Press report in July.The report quoted an anonymous Southeast Asian diplomat who said the date 
was agreed during the Asean foreign ministers’ conference in Jakarta, 
attended by China’s Foreign Minister Wang Yi.“There are still three years to go, but it is fraught with difficulties [to 
sign a deal],” said Song Zhongping, a former instructor with the People’s 
Liberation Army.The main obstacles include potential interference from outside the region, 
the diverse views among some of the regional countries, as well as changing 
international politics, Song said.If the code’s gestation is approaching its final phase – and the consensus 
reached five years ago was for at least three readings of the draft – it is 
also likely to be the most difficult.According to diplomatic sources with knowledge of the discussions, the 
first two rounds of talks covered only the least controversial parts of the 
proposal, and did not touch on the most contentious issues.The sources described Marcos’s proposal for a separate regional code 
excluding China as self-defeating.Hu Bo, director of the South China Sea Probing Initiative (SCSPI), said the 
talks for the code’s third reading are likely to be “very difficult and 
very complex” with each clause requiring unanimous agreement from all 11 
countries.“The negotiation of the code has indeed taken a very long time, but it is 
understandable,” he said.A draft framework leaked six years ago describes the envisioned agreement 
as “a set of norms to guide the conduct of parties and promote maritime 
cooperation in the South China Sea” but it is “not an instrument to settle 
territorial disputes or maritime delimitation issues”.Beijing and other claimants have been in contention since the 1970s over 
who controls hundreds of land features, as well as fishing and exploration 
rights, in the waterway that carries one-third of global shipping, as well 
as vast mineral, oil and gas resources.Beijing claims sovereignty over almost all of the islands and rock 
features, as well as their adjacent waters, indicated by its “nine-dash 
line” and backed by history, it says.The Philippines, Vietnam, Brunei, Malaysia and Taipei also claim some of 
these land features and waters, which sit within the 3.5 million sq km 
(2.17 million square miles) waterway.For years, Beijing exhibited a passive, even grudging stance towards 
Asean’s push for a code of conduct, which has been seen as a way to limit 
China’s actions in the South China Sea.Even after talks restarted a decade ago, China’s commitment to establishing 
a code of conduct was perceived as a way to buy time, particularly for its 
land reclamations – estimated to cover at least 12 sq km (7.5 miles) – on 
its seven occupied features in the Spratly Islands.Beijing’s turnaround may be due in part to a perception that the extensive 
project in the Spratlys has strengthened its position at the negotiating 
table, according to observers.Another incentive for China to step up progress on the code of conduct 
could be to reduce the regional influence of the US, which has increased 
its military presence and security interactions with allies in the waterway 
under its Indo-Pacific strategy.The journey to a code of conduct began in 1992, when Asean issued its 
Declaration on the South China Sea, the bloc’s first statement on the 
maritime disputes.China and the Philippines agreed on several principles for a code of 
conduct in August 1995, after a stand-off between the two countries over 
Mischief Reef. Three months later, Manila also reached a consensus with 
Hanoi on nine basic principles. 
{"@context":"https://schema.org","@type":"VideoObject","contentUrl":"https://www.youtube.com/embed/8eqtl0ym1p8?wmode=transparent&amp;jqoemcache=UdCOW&amp;enablejsapi=1&amp;playsinline=1","description":"The 
South China Sea dispute 
explained","duration":"PT3M23S","embedUrl":"https://www.scmp.com/news/china/diplomacy/article/3245375/beijing-warming-south-china-sea-code-conduct","name":"The 
South China Sea dispute 
explained","thumbnailUrl":["https://cdn1.i-scmp.com/sites/default/files/video/thumbnail/thumbnail_44.jpg","https://cdn2.i-scmp.com/sites/default/files/styles/wide_landscape/public/video/thumbnail/thumbnail_44.jpg?itok=-ZdnDSYq","https://cdn1.i-scmp.com/sites/default/files/styles/768x768/public/video/thumbnail/thumbnail_44.jpg?itok=kkI1LyEO"],"uploadDate":"2023-12-17T12:00:12.000Z"}{"@context":"https://schema.org","@type":"ImageObject","url":"https://cdn2.i-scmp.com/sites/default/files/styles/wide_landscape/public/video/thumbnail/thumbnail_44.jpg?itok=-ZdnDSYq"}03:23The 
South China Sea dispute explainedThe South China Sea dispute explainedAsean officially endorsed the idea of a code of conduct in 1996 and vowed 
to promote efforts to establish it in 1998. A year later, Beijing agreed to 
negotiations with the bloc to develop a code.But unbridgeable differences between Beijing and other claimants – as well 
as divergences within Asean over the content, status and scope of the 
proposed rules – put paid to a binding agreement.The compromise non-binding Declaration on the Conduct of Parties in the 
South China Sea (DOC) signed in November 2002 said all parties agreed to 
work towards the “eventual attainment” of a code of conduct.Nearly nine years of stalling followed – with Beijing showing clear 
resistance to the Asean negotiations, insisting instead on bilateral 
dealings with other claimants – until guidelines for implementing the DOC 
were agreed in 2011, in Bali, Indonesia.In 2013, Beijing and Asean revived formal consultations on the code, eight 
months after the Philippines – under the administration of former president 
Benigno Aquino III – initiated proceedings against China’s claims in The 
Hague’s Permanent Court.It would take until 2017 for the 11 countries to adopt a bare-bones 
framework for the code – one year after The Hague concluded China’s 
“nine-dash line” violated the UN Convention on the Law of the Sea (UNCLOS). 
Beijing rejects the decision.Building on the framework, China and Asean agreed in 2018 on the single 
draft negotiating text – which has not been made public – and a road map of 
three readings, which China proposed to complete by 2021.The Covid-19 pandemic delayed completion of the second reading until this 
year, when China and the Asean member states also agreed on guidelines to 
accelerate negotiations.“The third reading … means that the negotiations have formally entered the 
‘deep water’ zone,” according to Hu Xin, assistant research fellow of the 
National Institute for South China Sea Studies.In a note published on October 30, Hu said that contradictions and 
divergences among all parties were about to surface.Glaring areas of disagreement that are expected to test the third round of 
discussions include the document’s undefined legal status, geopolitical 
scope, disputed settlement mechanism, criteria of self-restraint and the 
role of third parties.While a legally binding code of conduct appears to be Asean’s long-standing 
goal, China has shown a reluctance to embrace the same stance. Beijing has 
repeatedly said it wants an enhanced and upgraded version of the 2002 
declaration. 
{"@context":"https://schema.org","@type":"VideoObject","contentUrl":"https://www.youtube.com/embed/0MvqJEdZkDQ?wmode=transparent&amp;jqoemcache=UdCOW&amp;enablejsapi=1&amp;playsinline=1","description":"Beijing 
and Manila trade blame over ‘provocative’ moves with ship collisions near 
disputed 
shoal","duration":"PT2M3S","embedUrl":"https://www.scmp.com/news/china/diplomacy/article/3245375/beijing-warming-south-china-sea-code-conduct","name":"Beijing 
and Manila trade blame over ‘provocative’ moves with ship collisions near 
disputed 
shoal","thumbnailUrl":["https://cdn.i-scmp.com/sites/default/files/d8/video/thumbnail/2023/10/23/clean-thumb.jpg","https://cdn.i-scmp.com/sites/default/files/styles/wide_landscape/public/d8/video/thumbnail/2023/10/23/clean-thumb.jpg?itok=H3XNHuAV","https://cdn.i-scmp.com/sites/default/files/styles/768x768/public/d8/video/thumbnail/2023/10/23/clean-thumb.jpg?itok=MIE2qoXd"],"uploadDate":"2023-12-17T12:00:12.000Z"}{"@context":"https://schema.org","@type":"ImageObject","url":"https://cdn.i-scmp.com/sites/default/files/styles/wide_landscape/public/d8/video/thumbnail/2023/10/23/clean-thumb.jpg?itok=H3XNHuAV"}02:03Beijing 
and Manila trade blame over ‘provocative’ moves with ship collisions near 
disputed shoalBeijing and Manila trade blame over ‘provocative’ moves with 
ship collisions near disputed shoalChina has also said it supports an “effective and substantive” code that is 
in line with international law, including UNCLOS.According to Hu Bo from SCSPI, China is open on the issue of the code’s 
legal status. “Whether it is binding or not depends on how the terms look,” 
he said, noting that a binding code would regulate all signatories, not 
just Beijing.When it comes to the explicit geopolitical scope of the code, both the DOC 
and 2018 draft text avoided specifics to get around the different positions 
of many countries involved in the disputes.Carl Thayer, emeritus professor of politics at the University of New South 
Wales in Australia, wrote in 2018 that Malaysia and Singapore had wanted 
the code’s geographic scope defined in the draft text.Vietnam proposed that it should apply “to all disputed features and 
overlapping maritime areas claimed under … UNCLOS”, while Indonesia 
suggested that “the parties are committed to respect the exclusive economic 
zone and continental shelf of the coastal states as provided for in … 
UNCLOS,” he wrote.Another bone of contention is whether the code will include a dispute 
settlement mechanism – pushed by several countries, including the 
Philippines and Vietnam, but treated with apparent caution by Beijing, 
without explicitly opposing it.China’s preference has been to address maritime disputes directly with the 
countries concerned rather than through international judicial bodies or 
compulsory arbitration. Beijing emphasises the code’s precautionary role to 
“control” disputes.All parties agreed in the 2002 DOC to exercise “self-restraint” – a notion 
introduced by Vietnam that was viewed as a means of freezing the status quo 
of island occupation and avoiding escalatory actions.But subsequent negotiations revealed the claimants’ differing 
understandings of the term, most notably in China, The Philippines and 
Vietnam’s controversial reclamation and construction activities on 
controlled features in the Spratly Islands.China has also upped the ante, with an instruction from President Xi 
Jinping on November 29 to the coastguard fleet to enforce China’s laws and 
“resolutely defend” its territorial sovereignty and maritime rights.China’s coastguard, the world’s largest, has been at the centre of recent 
clashes between Beijing and Manila over the disputed Second Thomas Shoal – 
known as Renai Reef in China and Ayungin Shoal in the Philippines. 
{"@context":"https://schema.org","@type":"VideoObject","contentUrl":"https://www.youtube.com/embed/SdedaXY_rvc?wmode=transparent&amp;jqoemcache=UdCOW&amp;enablejsapi=1&amp;playsinline=1","description":"Philippines 
accuses Chinese coastguard of firing water cannons at its vessels in 
disputed 
waters","duration":"PT2M13S","embedUrl":"https://www.scmp.com/news/china/diplomacy/article/3245375/beijing-warming-south-china-sea-code-conduct","name":"Philippines 
accuses Chinese coastguard of firing water cannons at its vessels in 
disputed 
waters","thumbnailUrl":["https://cdn.i-scmp.com/sites/default/files/d8/video/thumbnail/2023/08/07/clean-thumb_2.jpg","https://cdn.i-scmp.com/sites/default/files/styles/wide_landscape/public/d8/video/thumbnail/2023/08/07/clean-thumb_2.jpg?itok=eWLqbU1Y","https://cdn.i-scmp.com/sites/default/files/styles/768x768/public/d8/video/thumbnail/2023/08/07/clean-thumb_2.jpg?itok=wHf9DkWB"],"uploadDate":"2023-12-17T12:00:12.000Z"}{"@context":"https://schema.org","@type":"ImageObject","url":"https://cdn.i-scmp.com/sites/default/files/styles/wide_landscape/public/d8/video/thumbnail/2023/08/07/clean-thumb_2.jpg?itok=eWLqbU1Y"}02:13Philippines 
accuses Chinese coastguard of firing water cannons at its vessels in 
disputed watersPhilippines accuses Chinese coastguard of firing water 
cannons at its vessels in disputed watersAnalysts at consultancy Trivium China said that “an aggressive coastguard 
makes consensus on a South China Sea code of conduct increasingly 
unlikely”, in a note on December 4. “It will also push rival claimants to 
strengthen ties with the US.”The code’s negotiators also have differing positions on the involvement of 
third parties like the US in the South China Sea.In his 2018 note, Thayer included leaked details from the single draft 
negotiating text, containing a Beijing proposal for the code of conduct to 
ban joint military drills in the South China Sea with countries from 
outside the region without approval.Thayer also wrote that China proposed a ban on cooperation in the marine 
economy with companies from “outside the region”.Asean has been China’s largest trading partner since 2020, as well as a 
focus of Beijing’s Belt and Road Initiative. But the South China Sea 
disputes remain a risky rift to be healed between the two economies, 
highlighting the code’s necessity.The final document is also seen as a way to help China to recover from any 
reputational damage from the 2016 arbitration ruling.Zhang Mingliang, a Jinan University professor who specialises in South 
China Sea studies, said he was not optimistic that an agreement on the code 
would be reached, because the differences were “too big”.Even if a text is eventually agreed, the level of respect from all parties 
towards it was likely to be “very low”, due to deeper mutual mistrust 
stemming from further protracted negotiations, he said.SCSPI’s Hu Bo said that a challenge for the negotiations was that some 
claimants, such as Manila and Hanoi had “a lot of thoughts”.“The negotiation process for the [code of conduct] is not [solely] up to 
China,” he said.</t>
  </si>
  <si>
    <t>On Tuesday, the Indonesian military said members of the Association of 
Southeast Asian Nations (Asean) had held an initial planning conference for 
the joint drills, which will take place from September 18 to 25.However, soon after that initial announcement, General Vong Pisen, 
commander-in-chief of the Royal Cambodian Armed Forces, released a 
statement saying that Cambodia had yet to agree to the drills.He said that while Indonesia had proposed the idea as the rotating chair of 
the bloc, Cambodia and “several other countries” – which were not named – 
had not responded.{"@context":"https://schema.org","@type":"ImageObject","caption":"Cambodian 
Prime Minister Hun Sen with Chinese Defence Minister Wei Fenghe in Phnom 
Penh in November. Photo: 
Weibo","url":"https://img.i-scmp.com/cdn-cgi/image/fit=contain,width=1024,format=auto/sites/default/files/d8/images/canvas/2023/06/21/cdbd305c-b03b-432c-b36f-af7e5bb4a5ff_0d8b2a37.jpg"}Cambodian 
Prime Minister Hun Sen with Chinese Defence Minister Wei Fenghe in Phnom 
Penh in November. Photo: WeiboJoshua Bernard Espeña, a resident fellow at the International Development 
and Security Cooperation think tank in Manila, said Cambodia was hesitant 
about the drills as it was geopolitically and economically dependent on 
China.He said if the aim is for Asean members to have regular naval drills, 
military representatives from non-participating countries could be invited 
as observers.“[This is] to keep the message of Asean unity consistent,” Espeña said, 
noting that while Myanmar was similarly reliant on China, it would not 
participate in September, owing to its internal conflict.The Indonesian army has confirmed that Naypyidaw has declined to take part.Since seizing power in a coup in February 2021, the military junta in 
Myanmar has been embroiled in armed warfare with resistance groups.Cambodia is heavily reliant on China for aid, trade and investment, with 
Beijing contributing to 44 per cent of the tiny Southeast Asian country’s 
total foreign direct investment between 1994 and 2021.Joanne Lin Weiling, Asean Studies Centre co-coordinator at Singapore’s 
ISEAS-Yusof Ishak Institute, said that Cambodia remained cautious about the 
location of the naval exercises, which will take place in the South China 
Sea. 
{"@context":"https://schema.org","@type":"VideoObject","contentUrl":"https://www.youtube.com/embed/ZorOqIHYPlw?wmode=transparent&amp;jqoemcache=UdCOW&amp;enablejsapi=1&amp;playsinline=1","description":"China-Russia 
joint air patrols spark security concerns in South Korea, 
Japan","duration":"PT2M53S","embedUrl":"https://www.scmp.com/week-asia/politics/article/3224917/will-cambodias-concerns-rocking-china-boat-affect-asean-unity-over-naval-drills","name":"China-Russia 
joint air patrols spark security concerns in South Korea, 
Japan","thumbnailUrl":["https://cdn.i-scmp.com/sites/default/files/d8/video/thumbnail/2023/06/08/CLEAN_THUMB_1.jpg","https://cdn.i-scmp.com/sites/default/files/styles/wide_landscape/public/d8/video/thumbnail/2023/06/08/CLEAN_THUMB_1.jpg?itok=fIQV_KI2","https://cdn.i-scmp.com/sites/default/files/styles/768x768/public/d8/video/thumbnail/2023/06/08/CLEAN_THUMB_1.jpg?itok=jiulxoza"],"uploadDate":"2023-06-22T01:30:14.000Z"}{"@context":"https://schema.org","@type":"ImageObject","url":"https://cdn.i-scmp.com/sites/default/files/styles/wide_landscape/public/d8/video/thumbnail/2023/06/08/CLEAN_THUMB_1.jpg?itok=fIQV_KI2"}02:53China-Russia 
joint air patrols spark security concerns in South Korea, JapanChina-Russia 
joint air patrols spark security concerns in South Korea, JapanIf they were not conducted there “it might be more acceptable for 
Cambodia”, said Lin, noting that Phnom Penh had participated in other Asean 
exercises, such as the Asean Multilateral Naval Exercise 2023 last month 
off the waters of Subic Bay in the Philippines.Jakarta had initially said September’s joint exercises would be conducted 
in waters off Indonesia northeast of the Natuna Islands, known as the North 
Natuna Sea.The Natunas lie within Indonesia’s exclusive economic zone, but also fall 
within an area in the South China Sea claimed by Beijing.However, on Tuesday, Jakarta said the drills were now being planned for the 
waters of South Natuna, just outside the nine-dash line which Beijing uses 
to demarcate what it considers its maritime border.{"@context":"https://schema.org","@type":"ImageObject","caption":"Indonesian 
troops being inspected at a military base in the nation’s Riau Islands. 
File photo: Indonesian Armed Forces via 
AFP","url":"https://img.i-scmp.com/cdn-cgi/image/fit=contain,width=1024,format=auto/sites/default/files/d8/images/canvas/2023/06/21/8daeef15-598b-4e8c-a4ba-b9303177cddb_cccf3bdf.jpg"}Indonesian 
troops being inspected at a military base in the nation’s Riau Islands. 
File photo: Indonesian Armed Forces via AFPLin said Cambodia was supportive of Asean cooperation that would boost 
maritime security in Southeast Asia in responding to common challenges. “As 
long as it does not provoke other parties or increase tensions in regional 
waters,” Lin added, noting that the joint drills should go ahead for 
countries that were “comfortable” with Indonesia’s initiative.Referring to the Asean Coast Guard Forum, initiated by Indonesia in 
November to boost maritime security, Lin said that only eight Asean 
countries had taken part, with Cambodia and Myanmar not involved.“For a grouping like Asean with diverse interests among its member states, 
being pragmatic is important,” Lin said, adding that initiatives that were 
unable to garner the support of all 10 Asean members may still proceed with 
members that are most directly involved.“Other members may participate when they are ready in the future,” she said.{"@context":"https://schema.org","@type":"ImageObject","caption":"Chinese 
fighter jets in Thailand in 2022. Photo: 
Weibo","url":"https://img.i-scmp.com/cdn-cgi/image/fit=contain,width=1024,format=auto/sites/default/files/d8/images/canvas/2023/06/21/970bfb3d-e533-44fd-b5f5-74b888d91fd8_4fe27be9.jpg"}Chinese 
fighter jets in Thailand in 2022. Photo: WeiboWhile Asean centrality and unity were important for the organisation to be 
effective, the regional grouping is only an intergovernmental organisation 
which promotes cooperation, Lin added.“Asean member states certainly do not need to align themselves with foreign 
or security policies or see eye-to-eye on other issues concerning major 
power contestations in the region,” she said.Sophal Ear, an associate professor at the Arizona State University’s 
Thunderbird School of Global Management, said Cambodia’s uncertainty 
reflected its desire not to “rock the boat with China, an ironclad friend”.“Anyone who participates is offending China. Anyone who doesn’t participate 
is with China,” Ear said, adding that Asean unity and centrality – which 
was “apparently not all that rock-solid” – would be undermined if Cambodia 
did not participate.However, the drills should go ahead as countries that do participate will 
improve their naval operations and joint capabilities, Ear noted.First joint drills since 1967September’s drills will be the first Asean joint exercises since the body 
was established in 1967.Rifki Dermawan, an international relations lecturer at Andalas University 
in West Sumatra, said that while it was possible that other nations would 
also decide not to participate in the drills due to concerns about 
upsetting China, going ahead with them would send a strong signal that 
Asean was collectively protecting the region. 
{"@context":"https://schema.org","@type":"VideoObject","contentUrl":"https://www.youtube.com/embed/k7OP1fQmZgg?wmode=transparent&amp;jqoemcache=UdCOW&amp;enablejsapi=1&amp;playsinline=1","description":"China 
warns Aukus against going down ‘dangerous road’ over nuclear-powered 
submarine 
pact","duration":"PT2M52S","embedUrl":"https://www.scmp.com/week-asia/politics/article/3224917/will-cambodias-concerns-rocking-china-boat-affect-asean-unity-over-naval-drills","name":"China 
warns Aukus against going down ‘dangerous road’ over nuclear-powered 
submarine 
pact","thumbnailUrl":["https://cdn.i-scmp.com/sites/default/files/d8/video/thumbnail/2023/03/15/clean---aukus-subs.jpg","https://cdn.i-scmp.com/sites/default/files/styles/wide_landscape/public/d8/video/thumbnail/2023/03/15/clean---aukus-subs.jpg?itok=yow1SwOA","https://cdn.i-scmp.com/sites/default/files/styles/768x768/public/d8/video/thumbnail/2023/03/15/clean---aukus-subs.jpg?itok=ciqMu68e"],"uploadDate":"2023-06-22T01:30:14.000Z"}{"@context":"https://schema.org","@type":"ImageObject","url":"https://cdn.i-scmp.com/sites/default/files/styles/wide_landscape/public/d8/video/thumbnail/2023/03/15/clean---aukus-subs.jpg?itok=yow1SwOA"}02:52China 
warns Aukus against going down ‘dangerous road’ over nuclear-powered 
submarine pactChina warns Aukus against going down ‘dangerous road’ over 
nuclear-powered submarine pact“China is not the only threat to the region,” Rifki said, noting increasing 
military mini-lateralism like Aukus (Australia, Britain and the United 
States) and the Quad (Australia, the US, Japan and India) had already 
heightened tension.This had forced Asean to plan drills to ensure its centrality in the region 
and relevance in the midst of great power competition, Rifki added.Espeña said the exercises sent messages to both the US and China that while 
Washington “cannot rely on Asean to rally against China”, Beijing also 
could not dissuade regional states from giving up their “maritime-based 
grievances”.Iseas’ Lin noted that major powers’ disputes were intensifying, with both 
the US and China engaged in more military exercises in the region.These included Super Garuda Shield and Cobra Gold exercises between the US 
and several Asean countries, Falcon Strike joint air force training between 
China and Thailand, and Friendship Shield drills between China and Laos.The Aman Youyi-2023 (Peace and Friendship-2023) drills later this year 
between China, Cambodia, Laos, Malaysia, Thailand and Vietnam are also 
planned.“As such, it is important for Asean to strengthen its own resilience by 
using its own platform to promote regional cooperation,” Lin said.</t>
  </si>
  <si>
    <t>Row Labels</t>
  </si>
  <si>
    <t>Grand Total</t>
  </si>
  <si>
    <t>ASEAN-REGIONAL-FORUM-ANNUAL-SECURITY-OUTLOOK</t>
  </si>
  <si>
    <t>Remarks by SG-Dr.-Kao-at-ASEAN-China-Future-Relations-Forum</t>
  </si>
  <si>
    <t>ASEAN annual report - 2022-2023</t>
  </si>
  <si>
    <t>The-56th-AMM-Joint-Communique</t>
  </si>
  <si>
    <t>Joint-Communique-of-the-57th-AMM</t>
  </si>
  <si>
    <t>Chairmans-Statement-of-The-ASEAN-Post-Ministerial-Conference-PMC-101-with-Dialogue-Partners-and-Trilateral-Meetings</t>
  </si>
  <si>
    <t>ASEAN-Annual-Report-2023-June-December</t>
  </si>
  <si>
    <t>Chairmans_Statement_of_PMC_101_Sessions_with_DPs__Trilateral-Meetings</t>
  </si>
  <si>
    <t>ASEAN Security Outlook 2021</t>
  </si>
  <si>
    <t>Joint Press Briefing on the 23rd ASEAN-China Senior Officials' Consultation (ACSOC) 19 May 2017, Guiyang, Guizhou Province, China. May 19, 2017</t>
  </si>
  <si>
    <t>Declaration for a Decade of Coastal and Marine Environmental Protectional Protection in the South China Sea (2017-2027)</t>
  </si>
  <si>
    <t>https://asean.org/declaration-for-a-decade-of-coastal-and-marine-environmental-protectional-protection-in-the-south-china-sea-2017-2027/</t>
  </si>
  <si>
    <t>https://asean.org/joint-press-briefing-on-the-23rd-asean-china-senior-officials-consultation-acsoc-19-may-2017-guiyang-guizhou-province-china/</t>
  </si>
  <si>
    <t>Joint-Statement-30th-Anniversary-of-ASEAN-China-Dialogue-Relations</t>
  </si>
  <si>
    <t>Chairman's Statement of the 21st ASEAN-China Summit</t>
  </si>
  <si>
    <t>https://asean.org/chairmans-statement-of-the-21st-asean-china-summit-to-commemorate-the-15th-anniversary-of-asean-china-strategic-partnership-2/</t>
  </si>
  <si>
    <t>https://asean.org/wp-content/uploads/2019/11/Final-ASEAN-China-Joint-Statement-Synergising-the-MPAC-2025-and-the-BRI.pdf</t>
  </si>
  <si>
    <t>ASEAN-China-Joint-Statement-Synergising-the-MPAC-2025-and-the-BR</t>
  </si>
  <si>
    <t>https://asean.org/speechandstatement/joint-media-statement-of-the-7th-regional-comprehensive-economic-partnership-rcep-intersessional-ministerial-meeting/</t>
  </si>
  <si>
    <t>joint-media-statement-of-the-7th-regional-comprehensive-economic-partnership-rcep-intersessional-ministerial-meeting</t>
  </si>
  <si>
    <t>chairman's statement of the 26th asean regional forum</t>
  </si>
  <si>
    <t>https://aseanregionalforum.asean.org/wp-content/uploads/2019/08/26th-ARF-Chairmans-Statement_FINAL.pdf</t>
  </si>
  <si>
    <t>https://thediplomat.com/2016/07/the-south-china-sea-wont-stop-china-asean-economic-ties/</t>
  </si>
  <si>
    <t>The South China Sea Won’t Stop China-ASEAN Economic Ties</t>
  </si>
  <si>
    <t>The South China Sea crisis</t>
  </si>
  <si>
    <t>https://www.businessinsider.com/why-the-south-china-sea-is-so-crucial-2015-2</t>
  </si>
  <si>
    <t>Premier Li: ASEAN now China's largest trading partner</t>
  </si>
  <si>
    <t>https://news.cgtn.com/news/2020-11-12/Premier-Li-ASEAN-becomes-China-s-largest-trading-partner--VmpM9aYZgc/index.html</t>
  </si>
  <si>
    <t>Li Qiang Brings ASEAN’s Attention to Skyrocketing Trade Amid Map Controversy</t>
  </si>
  <si>
    <t>https://jakartaglobe.id/news/li-qiang-brings-aseans-attention-to-skyrocketing-trade-amid-map-controversy</t>
  </si>
  <si>
    <t>Bamboo diplomacy: the China-SE Asia romance</t>
  </si>
  <si>
    <t>https://asiatimes.com/2022/11/bamboo-diplomacy-the-china-se-asia-romance/</t>
  </si>
  <si>
    <t>China-ASEAN in numbers: Trade ties</t>
  </si>
  <si>
    <t>https://news.cgtn.com/news/3d3d414e3145544d7a457a6333566d54/index.html</t>
  </si>
  <si>
    <t>Authors</t>
  </si>
  <si>
    <t>Author full names</t>
  </si>
  <si>
    <t>Author(s) ID</t>
  </si>
  <si>
    <t>Title</t>
  </si>
  <si>
    <t>Year</t>
  </si>
  <si>
    <t>Source title</t>
  </si>
  <si>
    <t>Volume</t>
  </si>
  <si>
    <t>Issue</t>
  </si>
  <si>
    <t>Art. No.</t>
  </si>
  <si>
    <t>Page start</t>
  </si>
  <si>
    <t>Page end</t>
  </si>
  <si>
    <t>Page count</t>
  </si>
  <si>
    <t>Cited by</t>
  </si>
  <si>
    <t>DOI</t>
  </si>
  <si>
    <t>Link</t>
  </si>
  <si>
    <t>Document Type</t>
  </si>
  <si>
    <t>Publication Stage</t>
  </si>
  <si>
    <t>Open Access</t>
  </si>
  <si>
    <t>Article</t>
  </si>
  <si>
    <t>Final</t>
  </si>
  <si>
    <t>Lin S.; Grundy-Warr C.</t>
  </si>
  <si>
    <t>Lin, Shaun (56169941900); Grundy-Warr, Carl (6603304095)</t>
  </si>
  <si>
    <t>56169941900; 6603304095</t>
  </si>
  <si>
    <t>ASEAN and interconnecting regional spheres: Lessons for the Indian Ocean Region</t>
  </si>
  <si>
    <t>Journal of the Indian Ocean Region</t>
  </si>
  <si>
    <t>10.1080/19480881.2012.683628</t>
  </si>
  <si>
    <t>https://www.scopus.com/inward/record.uri?eid=2-s2.0-84862281005&amp;doi=10.1080%2f19480881.2012.683628&amp;partnerID=40&amp;md5=c20b06beffa776a95eba3fc6d48f5dad</t>
  </si>
  <si>
    <t>All Open Access; Green Open Access</t>
  </si>
  <si>
    <t>Tran P.T.; Vieira A.V.G.; Ferreira-Pereira L.C.</t>
  </si>
  <si>
    <t>Tran, Phuc Thi (57209819526); Vieira, Alena Vysotskaya G. (56803273000); Ferreira-Pereira, Laura C. (13604977500)</t>
  </si>
  <si>
    <t>57209819526; 56803273000; 13604977500</t>
  </si>
  <si>
    <t>Vietnam's strategic hedging vis-à-vis china: The roles of the European Union and Russia; [O hedging estratégico do Vietnam face à ascensão da china: O papel da União Europeia e da Rússia]</t>
  </si>
  <si>
    <t>Revista Brasileira de Politica Internacional</t>
  </si>
  <si>
    <t>10.1590/S0034-73292013000100009</t>
  </si>
  <si>
    <t>https://www.scopus.com/inward/record.uri?eid=2-s2.0-84881486656&amp;doi=10.1590%2fS0034-73292013000100009&amp;partnerID=40&amp;md5=93583c08a2e2407bb8a84dadd4ca55cb</t>
  </si>
  <si>
    <t>All Open Access; Gold Open Access; Green Open Access</t>
  </si>
  <si>
    <t>Ren H.-F.; Liu F.U.-K.</t>
  </si>
  <si>
    <t>Ren, Huai-Feng (55868974100); Liu, F.U.-Kuo (56883314700)</t>
  </si>
  <si>
    <t>55868974100; 56883314700</t>
  </si>
  <si>
    <t>Transitional security pattern in the south china sea and the involvement of external parties</t>
  </si>
  <si>
    <t>Issues and Studies</t>
  </si>
  <si>
    <t>https://www.scopus.com/inward/record.uri?eid=2-s2.0-84884851211&amp;partnerID=40&amp;md5=c85e0965e4e9d3fa48cd7d7b9e27a2b2</t>
  </si>
  <si>
    <t>Storey I.</t>
  </si>
  <si>
    <t>Storey, Ian (24436720800)</t>
  </si>
  <si>
    <t>Japan's maritime security interests in Southeast Asia and the South China Sea dispute</t>
  </si>
  <si>
    <t>Political Science</t>
  </si>
  <si>
    <t>10.1177/0032318713508482</t>
  </si>
  <si>
    <t>https://www.scopus.com/inward/record.uri?eid=2-s2.0-84890513323&amp;doi=10.1177%2f0032318713508482&amp;partnerID=40&amp;md5=c715d2fe8269ded1625debb06c9b0650</t>
  </si>
  <si>
    <t>Hossain K.</t>
  </si>
  <si>
    <t>Hossain, Kamrul (36662294500)</t>
  </si>
  <si>
    <t>The UNCLOS and the US-China hegemonic competition over the South China sea</t>
  </si>
  <si>
    <t>Journal of East Asia and International Law</t>
  </si>
  <si>
    <t>10.14330/jeail.2013.6.1.05</t>
  </si>
  <si>
    <t>https://www.scopus.com/inward/record.uri?eid=2-s2.0-84879581343&amp;doi=10.14330%2fjeail.2013.6.1.05&amp;partnerID=40&amp;md5=51ac9bd0732ef8cf1a4437ed49a12e69</t>
  </si>
  <si>
    <t>All Open Access; Green Open Access; Hybrid Gold Open Access</t>
  </si>
  <si>
    <t>De Castro R.C.</t>
  </si>
  <si>
    <t>De Castro, Renato Cruz (6603388364)</t>
  </si>
  <si>
    <t>China and Japan in maritime Southeast Asia: Extending their geo-strategic rivalry by competing for friends</t>
  </si>
  <si>
    <t>Philippine Political Science Journal</t>
  </si>
  <si>
    <t>10.1080/01154451.2013.851491</t>
  </si>
  <si>
    <t>https://www.scopus.com/inward/record.uri?eid=2-s2.0-84890042962&amp;doi=10.1080%2f01154451.2013.851491&amp;partnerID=40&amp;md5=070b58f6025249ed1a37b52405323e9b</t>
  </si>
  <si>
    <t>Chen I.T.-Y.; Yang A.H.</t>
  </si>
  <si>
    <t>Chen, Ian Tsung-Yen (55604680000); Yang, Alan Hao (55172631500)</t>
  </si>
  <si>
    <t>55604680000; 55172631500</t>
  </si>
  <si>
    <t>A harmonized Southeast Asia? Explanatory typologies of ASEAN countries' strategies to the rise of China</t>
  </si>
  <si>
    <t>Pacific Review</t>
  </si>
  <si>
    <t>10.1080/09512748.2012.759260</t>
  </si>
  <si>
    <t>https://www.scopus.com/inward/record.uri?eid=2-s2.0-84879151760&amp;doi=10.1080%2f09512748.2012.759260&amp;partnerID=40&amp;md5=3b9070b3c321adfe16b4fe7c0b2310fe</t>
  </si>
  <si>
    <t>Yu H.</t>
  </si>
  <si>
    <t>Yu, Hong (37098447900)</t>
  </si>
  <si>
    <t>China's eagerness to export its high-speed rail expertise to ASEAN members</t>
  </si>
  <si>
    <t>Copenhagen Journal of Asian Studies</t>
  </si>
  <si>
    <t>https://www.scopus.com/inward/record.uri?eid=2-s2.0-84925018190&amp;partnerID=40&amp;md5=069a8fd2842129cea27d5ae4e8edab51</t>
  </si>
  <si>
    <t>Weissmann M.</t>
  </si>
  <si>
    <t>Weissmann, Mikael (36722991600)</t>
  </si>
  <si>
    <t>The South China Sea: Still no war on the horizon</t>
  </si>
  <si>
    <t>Asian Survey</t>
  </si>
  <si>
    <t>10.1525/AS.2015.55.3.596</t>
  </si>
  <si>
    <t>https://www.scopus.com/inward/record.uri?eid=2-s2.0-84938833524&amp;doi=10.1525%2fAS.2015.55.3.596&amp;partnerID=40&amp;md5=3477a297ef173b4ed28e854e94b0290f</t>
  </si>
  <si>
    <t>Chan G.</t>
  </si>
  <si>
    <t>Chan, Gerald (7202354481)</t>
  </si>
  <si>
    <t>China Eyes ASEAN: Evolving Multilateralism</t>
  </si>
  <si>
    <t>Journal of Asian Security and International Affairs</t>
  </si>
  <si>
    <t>10.1177/2347797014565295</t>
  </si>
  <si>
    <t>https://www.scopus.com/inward/record.uri?eid=2-s2.0-85050330628&amp;doi=10.1177%2f2347797014565295&amp;partnerID=40&amp;md5=166edbe0c12581445769600b903f93ba</t>
  </si>
  <si>
    <t>Lin C.-P.</t>
  </si>
  <si>
    <t>Lin, Chong-Pin (56768315300)</t>
  </si>
  <si>
    <t>Behind rising east Asian maritime tensions with China: Struggle without breaking</t>
  </si>
  <si>
    <t>10.1525/AS.2015.55.3.478</t>
  </si>
  <si>
    <t>https://www.scopus.com/inward/record.uri?eid=2-s2.0-84938830836&amp;doi=10.1525%2fAS.2015.55.3.478&amp;partnerID=40&amp;md5=5e1f2564922723248120596eb69558d1</t>
  </si>
  <si>
    <t>He K.</t>
  </si>
  <si>
    <t>He, Kai (55241621000)</t>
  </si>
  <si>
    <t>Contested regional orders and institutional balancing in the Asia Pacific</t>
  </si>
  <si>
    <t>International Politics</t>
  </si>
  <si>
    <t>10.1057/ip.2014.46</t>
  </si>
  <si>
    <t>https://www.scopus.com/inward/record.uri?eid=2-s2.0-84923070115&amp;doi=10.1057%2fip.2014.46&amp;partnerID=40&amp;md5=2807b87cadd078c20519e7a4ca574262</t>
  </si>
  <si>
    <t>Akhmetova B.; Karabulatova I.; Dudin P.; Dorzhiev Z.</t>
  </si>
  <si>
    <t>Akhmetova, Bigaysha (56027478200); Karabulatova, Irina (55963615600); Dudin, Pavel (56613187900); Dorzhiev, Zhan (57192371124)</t>
  </si>
  <si>
    <t>56027478200; 55963615600; 56613187900; 57192371124</t>
  </si>
  <si>
    <t>Tension around the problem of the South China Sea as a factor of geopolitical confrontation and transformation of the present world order</t>
  </si>
  <si>
    <t>Central Asia and the Caucasus</t>
  </si>
  <si>
    <t>https://www.scopus.com/inward/record.uri?eid=2-s2.0-85005943774&amp;partnerID=40&amp;md5=5a36fe463c37c7ef086d68e4383c2bb9</t>
  </si>
  <si>
    <t>Beeson M.</t>
  </si>
  <si>
    <t>Beeson, Mark (7006329617)</t>
  </si>
  <si>
    <t>Can ASEAN cope with China?</t>
  </si>
  <si>
    <t>Journal of Current Southeast Asian Affairs</t>
  </si>
  <si>
    <t>10.1177/186810341603500101</t>
  </si>
  <si>
    <t>https://www.scopus.com/inward/record.uri?eid=2-s2.0-84964872917&amp;doi=10.1177%2f186810341603500101&amp;partnerID=40&amp;md5=8f6bfbf81b4a92f0bf54b22570fb7c88</t>
  </si>
  <si>
    <t>All Open Access; Gold Open Access</t>
  </si>
  <si>
    <t>Tuan H.A.; Thuy D.T.</t>
  </si>
  <si>
    <t>Tuan, Hoang Anh (57078123500); Thuy, Do Thi (58828835200)</t>
  </si>
  <si>
    <t>57078123500; 58828835200</t>
  </si>
  <si>
    <t>U.S.-Vietnam Security Cooperation: Catalysts and Constraints</t>
  </si>
  <si>
    <t>Asian Politics and Policy</t>
  </si>
  <si>
    <t>10.1111/aspp.12229</t>
  </si>
  <si>
    <t>https://www.scopus.com/inward/record.uri?eid=2-s2.0-84955618436&amp;doi=10.1111%2faspp.12229&amp;partnerID=40&amp;md5=4432b0c82f98dd7ea1d0ee55e72e9a57</t>
  </si>
  <si>
    <t>Chung C.P.C.</t>
  </si>
  <si>
    <t>Chung, Chris P. C (23501212400)</t>
  </si>
  <si>
    <t>Drawing the U-Shaped Line: China’s Claim in the South China Sea, 1946–1974</t>
  </si>
  <si>
    <t>Modern China</t>
  </si>
  <si>
    <t>10.1177/0097700415598538</t>
  </si>
  <si>
    <t>https://www.scopus.com/inward/record.uri?eid=2-s2.0-84950335488&amp;doi=10.1177%2f0097700415598538&amp;partnerID=40&amp;md5=3ba116061ed3cbe0187d6b106ea26a36</t>
  </si>
  <si>
    <t>Hameiri S.; Jones L.</t>
  </si>
  <si>
    <t>Hameiri, Shahar (16642616100); Jones, Lee (55464908600)</t>
  </si>
  <si>
    <t>16642616100; 55464908600</t>
  </si>
  <si>
    <t>Rising powers and state transformation: The case of China</t>
  </si>
  <si>
    <t>European Journal of International Relations</t>
  </si>
  <si>
    <t>10.1177/1354066115578952</t>
  </si>
  <si>
    <t>https://www.scopus.com/inward/record.uri?eid=2-s2.0-84961344200&amp;doi=10.1177%2f1354066115578952&amp;partnerID=40&amp;md5=2ccf1f664fab107b010bd9d6e840eb2f</t>
  </si>
  <si>
    <t>Lau C.Y.; Ang W.L.</t>
  </si>
  <si>
    <t>Lau, Cheng Yong (56783553000); Ang, Wen Loong (57191036587)</t>
  </si>
  <si>
    <t>56783553000; 57191036587</t>
  </si>
  <si>
    <t>The game theory: Malaysia’s position in south China sea towards China’s string of pearls strategy</t>
  </si>
  <si>
    <t>Advanced Science Letters</t>
  </si>
  <si>
    <t>10.1166/asl.2016.6705</t>
  </si>
  <si>
    <t>https://www.scopus.com/inward/record.uri?eid=2-s2.0-84985916840&amp;doi=10.1166%2fasl.2016.6705&amp;partnerID=40&amp;md5=2facaf8b3c59f628cdd51990757b24de</t>
  </si>
  <si>
    <t>The challenge of conflict resolution in the South China sea dispute: Examining the prospect of a stable peace in East Asia</t>
  </si>
  <si>
    <t>International Journal of China Studies</t>
  </si>
  <si>
    <t>https://www.scopus.com/inward/record.uri?eid=2-s2.0-84986571426&amp;partnerID=40&amp;md5=c6194dcb10194b4f4a2d0ebf10ed29bd</t>
  </si>
  <si>
    <t>Ahmad M.Z.; Mohd Sani M.A.</t>
  </si>
  <si>
    <t>Ahmad, Mohammad Zaki (57190617093); Mohd Sani, Mohd Azizuddin (35889266000)</t>
  </si>
  <si>
    <t>57190617093; 35889266000</t>
  </si>
  <si>
    <t>China's Assertive Posture in Reinforcing its Territorial and Sovereignty Claims in the South China Sea: An Insight into Malaysia's Stance</t>
  </si>
  <si>
    <t>Japanese Journal of Political Science</t>
  </si>
  <si>
    <t>10.1017/S1468109916000323</t>
  </si>
  <si>
    <t>https://www.scopus.com/inward/record.uri?eid=2-s2.0-85013158122&amp;doi=10.1017%2fS1468109916000323&amp;partnerID=40&amp;md5=347f24a16d5df4ab43c8b892d49a561d</t>
  </si>
  <si>
    <t>Lai Y.M.</t>
  </si>
  <si>
    <t>Lai, Yew Meng (57193954252)</t>
  </si>
  <si>
    <t>“Sea of Cooperation” or “Sea of Conflict”?: The South China Sea in the Context of China-ASEAN Maritime Cooperation</t>
  </si>
  <si>
    <t>https://www.scopus.com/inward/record.uri?eid=2-s2.0-85099346402&amp;partnerID=40&amp;md5=8de3f44507500e758182a849ddcdb53e</t>
  </si>
  <si>
    <t>Tan S.S.</t>
  </si>
  <si>
    <t>Tan, See Seng (8621482100)</t>
  </si>
  <si>
    <t>RETHINKING "ASEAN CENTRALITY" IN THE REGIONAL GOVERNANCE OF EAST Asia</t>
  </si>
  <si>
    <t>Singapore Economic Review</t>
  </si>
  <si>
    <t>10.1142/S0217590818400076</t>
  </si>
  <si>
    <t>https://www.scopus.com/inward/record.uri?eid=2-s2.0-84981164836&amp;doi=10.1142%2fS0217590818400076&amp;partnerID=40&amp;md5=0fa1f7847b23e970eaa8b41b0560b6fe</t>
  </si>
  <si>
    <t>Lee K.S.; Lee K.Y.</t>
  </si>
  <si>
    <t>Lee, Kyung Suk (57195939061); Lee, Kyu Young (57195939054)</t>
  </si>
  <si>
    <t>57195939061; 57195939054</t>
  </si>
  <si>
    <t>U.S. freedom of navigation operations in South China Sea: An ongoing riddle between the United States and China</t>
  </si>
  <si>
    <t>Korean Journal of Defense Analysis</t>
  </si>
  <si>
    <t>https://www.scopus.com/inward/record.uri?eid=2-s2.0-85030228088&amp;partnerID=40&amp;md5=eccb8658b63faff72144296a2b4bfa1b</t>
  </si>
  <si>
    <t>Hayton B.</t>
  </si>
  <si>
    <t>Hayton, Bill (56224826100)</t>
  </si>
  <si>
    <t>When good lawyers write bad history: Unreliable evidence and the south China sea territorial dispute</t>
  </si>
  <si>
    <t>Ocean Development and International Law</t>
  </si>
  <si>
    <t>10.1080/00908320.2017.1265362</t>
  </si>
  <si>
    <t>https://www.scopus.com/inward/record.uri?eid=2-s2.0-85011585807&amp;doi=10.1080%2f00908320.2017.1265362&amp;partnerID=40&amp;md5=49634f6bbb90bc05cde2df1698eed8ce</t>
  </si>
  <si>
    <t>Rosyidin M.</t>
  </si>
  <si>
    <t>Rosyidin, Mohamad (57194088538)</t>
  </si>
  <si>
    <t>Why collective identity matters: Constructivism and the absence of ASEAN’s role in the rohingya crisis</t>
  </si>
  <si>
    <t>Asia-Pacific Social Science Review</t>
  </si>
  <si>
    <t>https://www.scopus.com/inward/record.uri?eid=2-s2.0-85021276221&amp;partnerID=40&amp;md5=51efdcd3580fc2027dc981b844fb415e</t>
  </si>
  <si>
    <t>Hai D.T.</t>
  </si>
  <si>
    <t>Hai, Do Thanh (57194554238)</t>
  </si>
  <si>
    <t>Vietnam: riding the Chinese tide</t>
  </si>
  <si>
    <t>10.1080/09512748.2017.1377282</t>
  </si>
  <si>
    <t>https://www.scopus.com/inward/record.uri?eid=2-s2.0-85029483208&amp;doi=10.1080%2f09512748.2017.1377282&amp;partnerID=40&amp;md5=2f9a90fbec83e711e25afd4d277bbf6b</t>
  </si>
  <si>
    <t>Chen S.</t>
  </si>
  <si>
    <t>Chen, Shaofeng (56100186700)</t>
  </si>
  <si>
    <t>Regional responses to China’s maritime silk road initiative in southeast Asia</t>
  </si>
  <si>
    <t>Journal of Contemporary China</t>
  </si>
  <si>
    <t>10.1080/10670564.2018.1410960</t>
  </si>
  <si>
    <t>https://www.scopus.com/inward/record.uri?eid=2-s2.0-85038392728&amp;doi=10.1080%2f10670564.2018.1410960&amp;partnerID=40&amp;md5=19e148dd609411c7cc50fa8d3ccd60e8</t>
  </si>
  <si>
    <t>Regilme S.S.F., Jr</t>
  </si>
  <si>
    <t>Regilme, Salvador Santino F. (55613176800)</t>
  </si>
  <si>
    <t>Beyond Paradigms: Understanding the South China Sea Dispute Using Analytic Eclecticism</t>
  </si>
  <si>
    <t>International Studies</t>
  </si>
  <si>
    <t>10.1177/0020881718794527</t>
  </si>
  <si>
    <t>https://www.scopus.com/inward/record.uri?eid=2-s2.0-85075364332&amp;doi=10.1177%2f0020881718794527&amp;partnerID=40&amp;md5=00d026e3ede579688ebccb12916a8be3</t>
  </si>
  <si>
    <t>Zhang H.</t>
  </si>
  <si>
    <t>Zhang, Hongzhou (55934195900)</t>
  </si>
  <si>
    <t>Fisheries cooperation in the South China Sea: Evaluating the options</t>
  </si>
  <si>
    <t>Marine Policy</t>
  </si>
  <si>
    <t>10.1016/j.marpol.2017.12.014</t>
  </si>
  <si>
    <t>https://www.scopus.com/inward/record.uri?eid=2-s2.0-85040706254&amp;doi=10.1016%2fj.marpol.2017.12.014&amp;partnerID=40&amp;md5=d77a95e6dfeaa429e1708e119dd36ec0</t>
  </si>
  <si>
    <t>Ullah A.K.M.A.; Kumpoh A.A.-Z.A.</t>
  </si>
  <si>
    <t>Ullah, A. K. M. Ahsan (10043791400); Kumpoh, Asiyah Az-Zahra Ahmad (57211987870)</t>
  </si>
  <si>
    <t>10043791400; 57211987870</t>
  </si>
  <si>
    <t>Are Borders the Reflection of International Relations? Southeast Asian Borders in Perspective</t>
  </si>
  <si>
    <t>10.1177/2347797018798253</t>
  </si>
  <si>
    <t>https://www.scopus.com/inward/record.uri?eid=2-s2.0-85063585068&amp;doi=10.1177%2f2347797018798253&amp;partnerID=40&amp;md5=3abad10ec70b1c4e67763f1b484bc273</t>
  </si>
  <si>
    <t>Hong N.</t>
  </si>
  <si>
    <t>Hong, Nong (24481240500)</t>
  </si>
  <si>
    <t>The South China Sea Arbitration: A Test for the Efficacy of Compulsory Mechanism of UNCLOS and Implications for Dispute Management in the Region</t>
  </si>
  <si>
    <t>10.1111/aspp.12395</t>
  </si>
  <si>
    <t>https://www.scopus.com/inward/record.uri?eid=2-s2.0-85045890832&amp;doi=10.1111%2faspp.12395&amp;partnerID=40&amp;md5=92632e45f3f283c001172dfd879c5b1c</t>
  </si>
  <si>
    <t>Asian regionalism: Not so new, not so effective</t>
  </si>
  <si>
    <t>Pacific Affairs</t>
  </si>
  <si>
    <t>10.5509/2019923515</t>
  </si>
  <si>
    <t>https://www.scopus.com/inward/record.uri?eid=2-s2.0-85073358760&amp;doi=10.5509%2f2019923515&amp;partnerID=40&amp;md5=bc33797186b8e7d00510eb0b7a0e76ef</t>
  </si>
  <si>
    <t>Farzana K.F.; Zahurul Haq Md.</t>
  </si>
  <si>
    <t>Farzana, Kazi Fahmida (56906856700); Zahurul Haq, Md. (57224966515)</t>
  </si>
  <si>
    <t>56906856700; 57224966515</t>
  </si>
  <si>
    <t>Malaysia's political orientation in diplomatic neutrality</t>
  </si>
  <si>
    <t>Intellectual Discourse</t>
  </si>
  <si>
    <t>https://www.scopus.com/inward/record.uri?eid=2-s2.0-85079291087&amp;partnerID=40&amp;md5=a635cd40d69dcb0f23a748a70176e350</t>
  </si>
  <si>
    <t>Cottey A.</t>
  </si>
  <si>
    <t>Cottey, Andrew (6603105847)</t>
  </si>
  <si>
    <t>Europe and China’s sea disputes: between normative politics, power balancing and acquiescence</t>
  </si>
  <si>
    <t>European Security</t>
  </si>
  <si>
    <t>10.1080/09662839.2019.1636784</t>
  </si>
  <si>
    <t>https://www.scopus.com/inward/record.uri?eid=2-s2.0-85111136816&amp;doi=10.1080%2f09662839.2019.1636784&amp;partnerID=40&amp;md5=5c097198069fb144d14f8d32914ff861</t>
  </si>
  <si>
    <t>Sulaiman Y.</t>
  </si>
  <si>
    <t>Sulaiman, Yohanes (57211913606)</t>
  </si>
  <si>
    <t>What Threat? Leadership, Strategic Culture, and Indonesian Foreign Policy in the South China Sea</t>
  </si>
  <si>
    <t>10.1111/aspp.12496</t>
  </si>
  <si>
    <t>https://www.scopus.com/inward/record.uri?eid=2-s2.0-85075361911&amp;doi=10.1111%2faspp.12496&amp;partnerID=40&amp;md5=13639fda95e88bdbb0dcd05ea00762cc</t>
  </si>
  <si>
    <t>Mendoza R.U.; Siriban C.; Ty T.J.</t>
  </si>
  <si>
    <t>Mendoza, Ronald Umali (7005378283); Siriban, Charles (56677702700); Ty, Tea Jalin (57205609930)</t>
  </si>
  <si>
    <t>7005378283; 56677702700; 57205609930</t>
  </si>
  <si>
    <t>SURVEY OF ECONOMIC IMPLICATIONS OF MARITIME AND TERRITORIAL DISPUTES</t>
  </si>
  <si>
    <t>Journal of Economic Surveys</t>
  </si>
  <si>
    <t>10.1111/joes.12311</t>
  </si>
  <si>
    <t>https://www.scopus.com/inward/record.uri?eid=2-s2.0-85060794063&amp;doi=10.1111%2fjoes.12311&amp;partnerID=40&amp;md5=92908209c613ce9154e62ab83a964b2e</t>
  </si>
  <si>
    <t>Asia's competing multilateral initiatives: quality versus quantity</t>
  </si>
  <si>
    <t>10.1080/09512748.2018.1470556</t>
  </si>
  <si>
    <t>https://www.scopus.com/inward/record.uri?eid=2-s2.0-85047001510&amp;doi=10.1080%2f09512748.2018.1470556&amp;partnerID=40&amp;md5=693c23be4635c88354aae330a1a6c523</t>
  </si>
  <si>
    <t>Yilmaz S.; Liu F.-K.</t>
  </si>
  <si>
    <t>Yilmaz, Serafettin (56608688400); Liu, Fu-Kuo (56883314700)</t>
  </si>
  <si>
    <t>56608688400; 56883314700</t>
  </si>
  <si>
    <t>The Evolving Geopolitical Landscape in the Post-Arbitration South China Sea</t>
  </si>
  <si>
    <t>Pacific Focus</t>
  </si>
  <si>
    <t>10.1111/pafo.12151</t>
  </si>
  <si>
    <t>https://www.scopus.com/inward/record.uri?eid=2-s2.0-85076740688&amp;doi=10.1111%2fpafo.12151&amp;partnerID=40&amp;md5=8b9e08378e02e7a75f637c289723eeaa</t>
  </si>
  <si>
    <t>Hoang P.</t>
  </si>
  <si>
    <t>Hoang, Phuong (59278425200)</t>
  </si>
  <si>
    <t>Domestic Protests and Foreign Policy: An Examination of Anti-China Protests in Vietnam and Vietnamese Policy Towards China Regarding the South China Sea</t>
  </si>
  <si>
    <t>10.1177/2347797019826747</t>
  </si>
  <si>
    <t>https://www.scopus.com/inward/record.uri?eid=2-s2.0-85075617096&amp;doi=10.1177%2f2347797019826747&amp;partnerID=40&amp;md5=598efc003e3df4bc8536489a94da86de</t>
  </si>
  <si>
    <t>All Open Access; Bronze Open Access</t>
  </si>
  <si>
    <t>Strating R.</t>
  </si>
  <si>
    <t>Strating, Rebecca (55918320500)</t>
  </si>
  <si>
    <t>Small Power Hedging in an Era of Great-power Politics: Southeast Asian Responses to China’s Pursuit of Energy Security</t>
  </si>
  <si>
    <t>Asian Studies Review</t>
  </si>
  <si>
    <t>10.1080/10357823.2019.1681935</t>
  </si>
  <si>
    <t>https://www.scopus.com/inward/record.uri?eid=2-s2.0-85074811053&amp;doi=10.1080%2f10357823.2019.1681935&amp;partnerID=40&amp;md5=322f382a761ea92634855db404d09ae3</t>
  </si>
  <si>
    <t>Pietrasiak M.</t>
  </si>
  <si>
    <t>Pietrasiak, Małgorzata (57221233901)</t>
  </si>
  <si>
    <t>The Asean's attitude to the South China Sea dispute after the verdict of the permanent court of arbitration in the Hague; [ASEAN wobec sporu na Morzu Południowochińskim po orzeczeniu trybunału arbitrażowego w Hadze ]</t>
  </si>
  <si>
    <t>Przeglad Strategiczny</t>
  </si>
  <si>
    <t>10.14746/ps.2020.1.13</t>
  </si>
  <si>
    <t>https://www.scopus.com/inward/record.uri?eid=2-s2.0-85098570432&amp;doi=10.14746%2fps.2020.1.13&amp;partnerID=40&amp;md5=8291d4a8511cc65ac1e79acc947363b6</t>
  </si>
  <si>
    <t>Agusman D.D.; Fatihah C.Y.N.</t>
  </si>
  <si>
    <t>Agusman, Damos Dumoli (57764396600); Fatihah, Citra Yuda Nur (57764724900)</t>
  </si>
  <si>
    <t>57764396600; 57764724900</t>
  </si>
  <si>
    <t>CELEBRATING THE 25TH ANNIVERSARY OF UNCLOS LEGAL PERSPECTIVE: THE NATUNA CASE</t>
  </si>
  <si>
    <t>Indonesian Journal of International Law</t>
  </si>
  <si>
    <t>10.17304/ijil.vol17.4.799</t>
  </si>
  <si>
    <t>https://www.scopus.com/inward/record.uri?eid=2-s2.0-85132833843&amp;doi=10.17304%2fijil.vol17.4.799&amp;partnerID=40&amp;md5=f91f4862aa54aefd8d0a3995029f985d</t>
  </si>
  <si>
    <t>Zhao C.; Li R.; Gong Y.; Xu X.</t>
  </si>
  <si>
    <t>Zhao, Changping (55476836500); Li, Rui (57212092080); Gong, Yu (57191418413); Xu, Xin (57212080538)</t>
  </si>
  <si>
    <t>55476836500; 57212092080; 57191418413; 57212080538</t>
  </si>
  <si>
    <t>Study on the asymmetric QRE network game simulation of the South China Sea route trade cooperation</t>
  </si>
  <si>
    <t>10.1016/j.marpol.2019.103724</t>
  </si>
  <si>
    <t>https://www.scopus.com/inward/record.uri?eid=2-s2.0-85075870404&amp;doi=10.1016%2fj.marpol.2019.103724&amp;partnerID=40&amp;md5=aa33809e48d2067addee0c9a43e22929</t>
  </si>
  <si>
    <t>Fong Y.L.; Ponnan R.; De Rycker A.</t>
  </si>
  <si>
    <t>Fong, Yang Lai (55926468200); Ponnan, Ramachandran (56027984800); De Rycker, Antoon (50261397700)</t>
  </si>
  <si>
    <t>55926468200; 56027984800; 50261397700</t>
  </si>
  <si>
    <t>Different Countries, Different Perspectives: A Comparative Analysis of the South China Sea Disputes Coverage by Malaysian and Chinese Newspapers</t>
  </si>
  <si>
    <t>China Report</t>
  </si>
  <si>
    <t>10.1177/0009445519895627</t>
  </si>
  <si>
    <t>https://www.scopus.com/inward/record.uri?eid=2-s2.0-85079122381&amp;doi=10.1177%2f0009445519895627&amp;partnerID=40&amp;md5=f672cb5c4dd462316eb447c226b6db92</t>
  </si>
  <si>
    <t>Binh L.H.</t>
  </si>
  <si>
    <t>Binh, Le Hai (57226887668)</t>
  </si>
  <si>
    <t>Superpower responsibility, china, the South China sea and the COVID-19 pandemic</t>
  </si>
  <si>
    <t>https://www.scopus.com/inward/record.uri?eid=2-s2.0-85113231165&amp;partnerID=40&amp;md5=9ee9efa0a3761f3b013fcc959b8112b6</t>
  </si>
  <si>
    <t>Camba A.; Magat J.</t>
  </si>
  <si>
    <t>Camba, Alvin (56601319500); Magat, Janica (57215932315)</t>
  </si>
  <si>
    <t>56601319500; 57215932315</t>
  </si>
  <si>
    <t>HOW DO INVESTORS RESPOND to TERRITORIAL DISPUTES? EVIDENCE from the SOUTH CHINA SEA and IMPLICATIONS on PHILIPPINES ECONOMIC STRATEGY</t>
  </si>
  <si>
    <t>10.1142/S0217590819500681</t>
  </si>
  <si>
    <t>https://www.scopus.com/inward/record.uri?eid=2-s2.0-85082416030&amp;doi=10.1142%2fS0217590819500681&amp;partnerID=40&amp;md5=fae6e71051d4991a1d8f5ec0ad198fdb</t>
  </si>
  <si>
    <t>Lai Y.M.; Kuik C.-C.</t>
  </si>
  <si>
    <t>Lai, Yew Meng (57193954252); Kuik, Cheng-Chwee (55303741000)</t>
  </si>
  <si>
    <t>57193954252; 55303741000</t>
  </si>
  <si>
    <t>Structural sources of Malaysia's South China Sea policy: power uncertainties and small-state hedging</t>
  </si>
  <si>
    <t>Australian Journal of International Affairs</t>
  </si>
  <si>
    <t>10.1080/10357718.2020.1856329</t>
  </si>
  <si>
    <t>https://www.scopus.com/inward/record.uri?eid=2-s2.0-85097521602&amp;doi=10.1080%2f10357718.2020.1856329&amp;partnerID=40&amp;md5=ea9b16160bce7c02dbb87779f1cd36a8</t>
  </si>
  <si>
    <t>Suzuki S.</t>
  </si>
  <si>
    <t>Suzuki, Sanae (57211780008)</t>
  </si>
  <si>
    <t>Can ASEAN offer a useful model? Chairmanship in decision-making by consensus</t>
  </si>
  <si>
    <t>10.1080/09512748.2020.1727553</t>
  </si>
  <si>
    <t>https://www.scopus.com/inward/record.uri?eid=2-s2.0-85079756904&amp;doi=10.1080%2f09512748.2020.1727553&amp;partnerID=40&amp;md5=ecb423ed882a13ed9b1ea5c15b06e93f</t>
  </si>
  <si>
    <t>Khalid K.M.; Azman M.D.</t>
  </si>
  <si>
    <t>Khalid, Khadijah Md (40761720500); Azman, M.D. (57205236212)</t>
  </si>
  <si>
    <t>40761720500; 57205236212</t>
  </si>
  <si>
    <t>In the Dragon's Tight Embrace? A Neo-Gramscian Perspective on Malaysia's Foreign Policy towards China</t>
  </si>
  <si>
    <t>Contemporary Chinese Political Economy and Strategic Relations</t>
  </si>
  <si>
    <t>https://www.scopus.com/inward/record.uri?eid=2-s2.0-85130446034&amp;partnerID=40&amp;md5=ab05b558fe3d81ed343ebc715171afca</t>
  </si>
  <si>
    <t>Hung N.T.; Cuong N.X.</t>
  </si>
  <si>
    <t>Hung, Nghiem Tuan (57421667000); Cuong, Nguyen Xuan (57202940704)</t>
  </si>
  <si>
    <t>57421667000; 57202940704</t>
  </si>
  <si>
    <t>Non-traditional Security Complex in the South China Sea: Vietnam’s Perspectives and Policy Implications</t>
  </si>
  <si>
    <t>Journal Global Policy and Governance</t>
  </si>
  <si>
    <t>10.14666/2194-7759-10-2-004</t>
  </si>
  <si>
    <t>https://www.scopus.com/inward/record.uri?eid=2-s2.0-85123239154&amp;doi=10.14666%2f2194-7759-10-2-004&amp;partnerID=40&amp;md5=1b861931de0f38554d4585e46b1de354</t>
  </si>
  <si>
    <t>Paszak P.</t>
  </si>
  <si>
    <t>Paszak, Paweł (57221233372)</t>
  </si>
  <si>
    <t>The Malacca Strait, the South China Sea and the Sino-American Competition in the Indo-Pacific</t>
  </si>
  <si>
    <t>10.1177/23477970211017494</t>
  </si>
  <si>
    <t>https://www.scopus.com/inward/record.uri?eid=2-s2.0-85107026416&amp;doi=10.1177%2f23477970211017494&amp;partnerID=40&amp;md5=b83ab2f0a4aabc8d0f93534f0a06290d</t>
  </si>
  <si>
    <t>Nguyen A.</t>
  </si>
  <si>
    <t>Nguyen, Anh (57449672500)</t>
  </si>
  <si>
    <t>THE PROTECTION OF FOREIGN INVESTMENTS IN DISPUTED MARITIME AREAS OF THE SOUTH CHINA SEA</t>
  </si>
  <si>
    <t>10.17304/ijil.vol19.1.1</t>
  </si>
  <si>
    <t>https://www.scopus.com/inward/record.uri?eid=2-s2.0-85132822530&amp;doi=10.17304%2fijil.vol19.1.1&amp;partnerID=40&amp;md5=5a42ae5b1942668f3221f70b069e1120</t>
  </si>
  <si>
    <t>Tampubolon M.</t>
  </si>
  <si>
    <t>Tampubolon, Manotar (57223193391)</t>
  </si>
  <si>
    <t>ASEAN opportunity as a global human rights actor: prospect and challenges</t>
  </si>
  <si>
    <t>Review of International Geographical Education Online</t>
  </si>
  <si>
    <t>10.48047/rigeo.11.05.114</t>
  </si>
  <si>
    <t>https://www.scopus.com/inward/record.uri?eid=2-s2.0-85116059390&amp;doi=10.48047%2frigeo.11.05.114&amp;partnerID=40&amp;md5=8545de898026f2ce31c8f86a022bb4cf</t>
  </si>
  <si>
    <t>Yu Z.; Xiao Y.; Li J.</t>
  </si>
  <si>
    <t>Yu, Zhen (57212301139); Xiao, Yao (57220831844); Li, Jinpo (57202723077)</t>
  </si>
  <si>
    <t>57212301139; 57220831844; 57202723077</t>
  </si>
  <si>
    <t>How does geopolitical uncertainty affect Chinese overseas investment in the energy sector? Evidence from the South China Sea Dispute</t>
  </si>
  <si>
    <t>Energy Economics</t>
  </si>
  <si>
    <t>10.1016/j.eneco.2021.105361</t>
  </si>
  <si>
    <t>https://www.scopus.com/inward/record.uri?eid=2-s2.0-85107644314&amp;doi=10.1016%2fj.eneco.2021.105361&amp;partnerID=40&amp;md5=8a5b64d9c037f64abcf0163cafa3e677</t>
  </si>
  <si>
    <t>Voon J.P.; Chien-Peng C.; Nam C.S.</t>
  </si>
  <si>
    <t>Voon, Jan P. (6602768986); Chien-Peng, Chung (57193754383); Nam, Chan Sze (57668321100)</t>
  </si>
  <si>
    <t>6602768986; 57193754383; 57668321100</t>
  </si>
  <si>
    <t>Political-Economic Suboptimization of China's Belt and Road Initiative: The Case of Infrastructure Investments in Southeast Asia</t>
  </si>
  <si>
    <t>Journal of Southeast Asian Economies</t>
  </si>
  <si>
    <t>10.1355/ae38-2f</t>
  </si>
  <si>
    <t>https://www.scopus.com/inward/record.uri?eid=2-s2.0-85129516336&amp;doi=10.1355%2fae38-2f&amp;partnerID=40&amp;md5=03106ab991627503a27ac29c8f47e2f5</t>
  </si>
  <si>
    <t>Putra B.A.</t>
  </si>
  <si>
    <t>Putra, Bama Andika (57208339729)</t>
  </si>
  <si>
    <t>Comprehending Brunei Darussalam’s vanishing claims in the South China Sea: China’s exertion of economic power and the influence of elite perception</t>
  </si>
  <si>
    <t>Cogent Social Sciences</t>
  </si>
  <si>
    <t>10.1080/23311886.2020.1858563</t>
  </si>
  <si>
    <t>https://www.scopus.com/inward/record.uri?eid=2-s2.0-85097681053&amp;doi=10.1080%2f23311886.2020.1858563&amp;partnerID=40&amp;md5=c5c1c86b0a5295251ed87614a20ea9c5</t>
  </si>
  <si>
    <t>Norm contestation, statecraft and the South China Sea: defending maritime order</t>
  </si>
  <si>
    <t>10.1080/09512748.2020.1804990</t>
  </si>
  <si>
    <t>https://www.scopus.com/inward/record.uri?eid=2-s2.0-85089460859&amp;doi=10.1080%2f09512748.2020.1804990&amp;partnerID=40&amp;md5=77d9fcdbb15c33900cbf0fb49c610531</t>
  </si>
  <si>
    <t>Tahalele M.P.; Dhiaulhaq A.; Putra R.A.; Affandi R.A.; Arnakim L.Y.; Mursitama T.N.</t>
  </si>
  <si>
    <t>Tahalele, Miranda P. (58009248800); Dhiaulhaq, Ahmad (55841539700); Putra, Rhevy Adriade (58098014400); Affandi, Roseno Aji (57201349815); Arnakim, Lili Yulyadi (57189852716); Mursitama, Tirta Nugraha (15758253200)</t>
  </si>
  <si>
    <t>58009248800; 55841539700; 58098014400; 57201349815; 57189852716; 15758253200</t>
  </si>
  <si>
    <t>The Trajectory and Trend of International Political Economy in Southeast Asia</t>
  </si>
  <si>
    <t>Journal of ASEAN Studies</t>
  </si>
  <si>
    <t>10.21512/jas.v10i2.9184</t>
  </si>
  <si>
    <t>https://www.scopus.com/inward/record.uri?eid=2-s2.0-85147807113&amp;doi=10.21512%2fjas.v10i2.9184&amp;partnerID=40&amp;md5=5dcde453c51a4261eb3d54482636ebcf</t>
  </si>
  <si>
    <t>Ernst M.</t>
  </si>
  <si>
    <t>Ernst, Maximilian (57194528936)</t>
  </si>
  <si>
    <t>Control Through Cooperation?Assessing China’s Economic and Military-Strategic Interests in the South China Sea</t>
  </si>
  <si>
    <t>Journal of Territorial and Maritime Studies</t>
  </si>
  <si>
    <t>10.2307/JTMS.9.2.7</t>
  </si>
  <si>
    <t>https://www.scopus.com/inward/record.uri?eid=2-s2.0-85135944511&amp;doi=10.2307%2fJTMS.9.2.7&amp;partnerID=40&amp;md5=1705eb38b1827fc3ac1731eaa97847b3</t>
  </si>
  <si>
    <t>Mukherjee B.N.</t>
  </si>
  <si>
    <t>Mukherjee, Baidya Nath (57981574500)</t>
  </si>
  <si>
    <t>CHINA’S UNILATERAL CLAIM IN THE SOUTH CHINA AND EAST CHINA SEA: AN ANALYTICAL STUDY</t>
  </si>
  <si>
    <t>Journal of Liberty and International Affairs</t>
  </si>
  <si>
    <t>10.47305/JLIA2283399m</t>
  </si>
  <si>
    <t>https://www.scopus.com/inward/record.uri?eid=2-s2.0-85143378028&amp;doi=10.47305%2fJLIA2283399m&amp;partnerID=40&amp;md5=f37e4aa4dbdb6bb5c419c66a1ebaeb8c</t>
  </si>
  <si>
    <t>Limpo L.; Beauty B.</t>
  </si>
  <si>
    <t>Limpo, Lita (57980263500); Beauty, Beauty (57980263600)</t>
  </si>
  <si>
    <t>57980263500; 57980263600</t>
  </si>
  <si>
    <t>ASEAN AND CONFLICT MANAGEMENT IN SOUTHEAST ASIA</t>
  </si>
  <si>
    <t>Cogito</t>
  </si>
  <si>
    <t>https://www.scopus.com/inward/record.uri?eid=2-s2.0-85142528558&amp;partnerID=40&amp;md5=dda6a23b911f3ca20f5464e3a18b8574</t>
  </si>
  <si>
    <t>Wu X.; Velasco J.C.</t>
  </si>
  <si>
    <t>Wu, Xiangning (57218115771); Velasco, Joseph Ching (57203924828)</t>
  </si>
  <si>
    <t>57218115771; 57203924828</t>
  </si>
  <si>
    <t>Examining the Philippines’ China policy: great powers and domestic politics</t>
  </si>
  <si>
    <t>10.1080/10357718.2022.2085242</t>
  </si>
  <si>
    <t>https://www.scopus.com/inward/record.uri?eid=2-s2.0-85131671604&amp;doi=10.1080%2f10357718.2022.2085242&amp;partnerID=40&amp;md5=d33b8654ab303b7686e47d4f3378184c</t>
  </si>
  <si>
    <t>Kuik C.-C.</t>
  </si>
  <si>
    <t>Kuik, Cheng-Chwee (55303741000)</t>
  </si>
  <si>
    <t>Hedging via Institutions: ASEAN-led Multilateralism in the Age of the Indo-Pacific</t>
  </si>
  <si>
    <t>Asian Journal of Peacebuilding</t>
  </si>
  <si>
    <t>10.18588/202211.00a319</t>
  </si>
  <si>
    <t>https://www.scopus.com/inward/record.uri?eid=2-s2.0-85145605759&amp;doi=10.18588%2f202211.00a319&amp;partnerID=40&amp;md5=79de96262cce2c58effb69ecf84aaa5a</t>
  </si>
  <si>
    <t>Caballero-Anthony M.; Emmers R.</t>
  </si>
  <si>
    <t>Caballero-Anthony, Mely (8668726600); Emmers, Ralf (9132336900)</t>
  </si>
  <si>
    <t>8668726600; 9132336900</t>
  </si>
  <si>
    <t>Keeping the peace in Southeast Asia: ASEAN and the quest for positive peace</t>
  </si>
  <si>
    <t>10.1080/09512748.2022.2075440</t>
  </si>
  <si>
    <t>https://www.scopus.com/inward/record.uri?eid=2-s2.0-85130159783&amp;doi=10.1080%2f09512748.2022.2075440&amp;partnerID=40&amp;md5=c55cd950132865ca5ea4052811e921d8</t>
  </si>
  <si>
    <t>Teo S.</t>
  </si>
  <si>
    <t>Teo, Sarah (56868271800)</t>
  </si>
  <si>
    <t>Middle powers amid Sino-U.S. rivalry: assessing the ‘good regional citizenship’ of Australia and Indonesia</t>
  </si>
  <si>
    <t>10.1080/09512748.2022.2075444</t>
  </si>
  <si>
    <t>https://www.scopus.com/inward/record.uri?eid=2-s2.0-85130602645&amp;doi=10.1080%2f09512748.2022.2075444&amp;partnerID=40&amp;md5=ff299032983e01766195972e6ec25bcb</t>
  </si>
  <si>
    <t>Chuong N.A.; Hiep T.X.; Binh N.T.; Hue N.H.; Thao N.T.P.</t>
  </si>
  <si>
    <t>Chuong, Nguyen Anh (57247707100); Hiep, Tran Xuan (57212152131); Binh, Nguyen Tuan (57221775698); Hue, Nguyen Hoang (57734501600); Thao, Nguyen Thi Phuong (57192960077)</t>
  </si>
  <si>
    <t>57247707100; 57212152131; 57221775698; 57734501600; 57192960077</t>
  </si>
  <si>
    <t>Competitive Strategy of India and China in Southeast Asia and Its Impact on the Region</t>
  </si>
  <si>
    <t>Croatian International Relations Review</t>
  </si>
  <si>
    <t>10.2478/CIRR-2022-0013</t>
  </si>
  <si>
    <t>https://www.scopus.com/inward/record.uri?eid=2-s2.0-85131698558&amp;doi=10.2478%2fCIRR-2022-0013&amp;partnerID=40&amp;md5=9f657ddeb20095e7934266cfd53087a8</t>
  </si>
  <si>
    <t>Lee C.-K.</t>
  </si>
  <si>
    <t>Lee, Choong–Koo (57196746130)</t>
  </si>
  <si>
    <t>A South China Sea Conflict and the ROK’s Cooperation with the United States</t>
  </si>
  <si>
    <t>10.22883/kjda.2022.34.4.008</t>
  </si>
  <si>
    <t>https://www.scopus.com/inward/record.uri?eid=2-s2.0-85143786711&amp;doi=10.22883%2fkjda.2022.34.4.008&amp;partnerID=40&amp;md5=fccb81f57a6d1ec179e2a49e7d7f2fae</t>
  </si>
  <si>
    <t>Shades of grey: riskification and hedging in the Indo-Pacific</t>
  </si>
  <si>
    <t>10.1080/09512748.2022.2110608</t>
  </si>
  <si>
    <t>https://www.scopus.com/inward/record.uri?eid=2-s2.0-85138232854&amp;doi=10.1080%2f09512748.2022.2110608&amp;partnerID=40&amp;md5=7fa8bb6e15a9cd642d10d820affb967f</t>
  </si>
  <si>
    <t>Govella K.</t>
  </si>
  <si>
    <t>Govella, Kristi (35320798300)</t>
  </si>
  <si>
    <t>Avoiding and exploiting the tragedy of the commons: fishing, crime, and conflict in the South China Sea</t>
  </si>
  <si>
    <t>10.1057/s41311-023-00501-4</t>
  </si>
  <si>
    <t>https://www.scopus.com/inward/record.uri?eid=2-s2.0-85171187634&amp;doi=10.1057%2fs41311-023-00501-4&amp;partnerID=40&amp;md5=7c591e14f0dfbe641a2bd31586618951</t>
  </si>
  <si>
    <t>Wu C.C.-H.</t>
  </si>
  <si>
    <t>Wu, Charles Chong-Han (57191380800)</t>
  </si>
  <si>
    <t>The Maritime Silk Road Initiative and Its Implications for China’s Regional Policy</t>
  </si>
  <si>
    <t>Chinese Political Science Review</t>
  </si>
  <si>
    <t>10.1007/s41111-022-00209-5</t>
  </si>
  <si>
    <t>https://www.scopus.com/inward/record.uri?eid=2-s2.0-85124410226&amp;doi=10.1007%2fs41111-022-00209-5&amp;partnerID=40&amp;md5=d5f39f8e9cfeaeabafb52eaa42efa951</t>
  </si>
  <si>
    <t>Nguyen H.K.T.</t>
  </si>
  <si>
    <t>Nguyen, Hong Kong To (57226656646)</t>
  </si>
  <si>
    <t>Law and (Dis)order in the South China Sea: Analyzing Maritime Law-Enforcement Activities in 2010–22</t>
  </si>
  <si>
    <t>Asia Policy</t>
  </si>
  <si>
    <t>https://www.scopus.com/inward/record.uri?eid=2-s2.0-85159841216&amp;partnerID=40&amp;md5=1a79b28a2b3d8b8232d889ea63ef38d6</t>
  </si>
  <si>
    <t>Kodama Y.</t>
  </si>
  <si>
    <t>Kodama, Yoshinori (58771956700)</t>
  </si>
  <si>
    <t>JUDICIALIZATION IN AND AROUND THE SOUTH CHINA SEA</t>
  </si>
  <si>
    <t>10.17304/ijil.vol21.1.6</t>
  </si>
  <si>
    <t>https://www.scopus.com/inward/record.uri?eid=2-s2.0-85180178029&amp;doi=10.17304%2fijil.vol21.1.6&amp;partnerID=40&amp;md5=cb435814c886e7bdb4722330e5cb1b4d</t>
  </si>
  <si>
    <t>Karim M.F.; Gobel A.; Wicaksana I.G.W.</t>
  </si>
  <si>
    <t>Karim, Moch Faisal (57190738976); Gobel, Andini (58494190700); Wicaksana, I Gede Wahyu (56662194000)</t>
  </si>
  <si>
    <t>57190738976; 58494190700; 56662194000</t>
  </si>
  <si>
    <t>Bureaucratic Politics and Informality in Foreign Policy-making: The Case of Indonesia-China Relations</t>
  </si>
  <si>
    <t>International Spectator</t>
  </si>
  <si>
    <t>10.1080/03932729.2023.2235140</t>
  </si>
  <si>
    <t>https://www.scopus.com/inward/record.uri?eid=2-s2.0-85165128450&amp;doi=10.1080%2f03932729.2023.2235140&amp;partnerID=40&amp;md5=50031e848024aac526fab89ea382640a</t>
  </si>
  <si>
    <t>Ashley R.; Fraser J.</t>
  </si>
  <si>
    <t>Ashley, Ryan (57729867000); Fraser, Jada (58281155300)</t>
  </si>
  <si>
    <t>57729867000; 58281155300</t>
  </si>
  <si>
    <t>Common Waters: Japan, South Korea, and Maritime Security Assistance in Southeast Asia</t>
  </si>
  <si>
    <t>https://www.scopus.com/inward/record.uri?eid=2-s2.0-85159848828&amp;partnerID=40&amp;md5=9ad638f2df563d9e24af27d1d8397092</t>
  </si>
  <si>
    <t>Bajpaee C.</t>
  </si>
  <si>
    <t>Bajpaee, Chietigj (56299399100)</t>
  </si>
  <si>
    <t>Reinvigorating India’s ‘Act East’ Policy in an age of renewed power politics</t>
  </si>
  <si>
    <t>10.1080/09512748.2022.2110609</t>
  </si>
  <si>
    <t>https://www.scopus.com/inward/record.uri?eid=2-s2.0-85135864628&amp;doi=10.1080%2f09512748.2022.2110609&amp;partnerID=40&amp;md5=eb3525590ff19aa3a5f236cf5a89dfb7</t>
  </si>
  <si>
    <t>All Open Access; Hybrid Gold Open Access</t>
  </si>
  <si>
    <t>Dar A.I.</t>
  </si>
  <si>
    <t>Dar, Arshid Iqbal (57223312995)</t>
  </si>
  <si>
    <t>India’s Indo-Pacific Policy: Unpacking the Underpinnings and Challenges</t>
  </si>
  <si>
    <t>10.1007/s41111-022-00226-4</t>
  </si>
  <si>
    <t>https://www.scopus.com/inward/record.uri?eid=2-s2.0-85138001725&amp;doi=10.1007%2fs41111-022-00226-4&amp;partnerID=40&amp;md5=9e5bc1ed7135e4b52a1f918faea406ec</t>
  </si>
  <si>
    <t>Trias A.P.L.; Cook A.D.B.</t>
  </si>
  <si>
    <t>Trias, Angelo Paolo L. (57204676886); Cook, Alistair D.B. (56053773600)</t>
  </si>
  <si>
    <t>57204676886; 56053773600</t>
  </si>
  <si>
    <t>Military humanitarian and disaster governance networks in Southeast Asia: framework and analysis</t>
  </si>
  <si>
    <t>Disasters</t>
  </si>
  <si>
    <t>10.1111/disa.12542</t>
  </si>
  <si>
    <t>https://www.scopus.com/inward/record.uri?eid=2-s2.0-85139944486&amp;doi=10.1111%2fdisa.12542&amp;partnerID=40&amp;md5=15832d770ebb3d954aeb1d881f98ba5e</t>
  </si>
  <si>
    <t>Pitakdumrongkit K.</t>
  </si>
  <si>
    <t>Pitakdumrongkit, Kaewkamol (56525342400)</t>
  </si>
  <si>
    <t>Managing economic statecraft via multilateral agreements: the roles of ASEAN member states in shaping Regional Comprehensive Economic Partnership</t>
  </si>
  <si>
    <t>10.1080/09512748.2023.2200022</t>
  </si>
  <si>
    <t>https://www.scopus.com/inward/record.uri?eid=2-s2.0-85152470885&amp;doi=10.1080%2f09512748.2023.2200022&amp;partnerID=40&amp;md5=7d21a7722ae5b9d09fff5a4b509ddd60</t>
  </si>
  <si>
    <t>Ho A.N.</t>
  </si>
  <si>
    <t>Ho, Ai Nhan (57864610300)</t>
  </si>
  <si>
    <t>Challenges Toward a Rule-based Order in the South China Sea</t>
  </si>
  <si>
    <t>10.1177/23477970231173539</t>
  </si>
  <si>
    <t>https://www.scopus.com/inward/record.uri?eid=2-s2.0-85168655768&amp;doi=10.1177%2f23477970231173539&amp;partnerID=40&amp;md5=44bfc694b61bc991a12357fd943f0e27</t>
  </si>
  <si>
    <t>Chao W.-C.</t>
  </si>
  <si>
    <t>Chao, Wen-Chih (55868882700)</t>
  </si>
  <si>
    <t>The Political Economy of the Philippines and Its Development Strategy under China-USA Power Rivalry and Hegemonic Competition: Hedge with Balance</t>
  </si>
  <si>
    <t>Chinese Economy</t>
  </si>
  <si>
    <t>10.1080/10971475.2022.2136694</t>
  </si>
  <si>
    <t>https://www.scopus.com/inward/record.uri?eid=2-s2.0-85141020211&amp;doi=10.1080%2f10971475.2022.2136694&amp;partnerID=40&amp;md5=9816731def42c70d58a6330f5687c1ba</t>
  </si>
  <si>
    <t>Coutaz G.</t>
  </si>
  <si>
    <t>Coutaz, Gregory (57209838633)</t>
  </si>
  <si>
    <t>Fishery Conflicts in the South China Sea: The Future Lies in Cooperation</t>
  </si>
  <si>
    <t>Tamkang Journal of International Affairs</t>
  </si>
  <si>
    <t>10.6185/TJIA.V.202309_27(1).0001</t>
  </si>
  <si>
    <t>https://www.scopus.com/inward/record.uri?eid=2-s2.0-85184681365&amp;doi=10.6185%2fTJIA.V.202309_27%281%29.0001&amp;partnerID=40&amp;md5=add25383ecdbb9f0138a82cbb0467e62</t>
  </si>
  <si>
    <t>Zhang K.</t>
  </si>
  <si>
    <t>Zhang, Ketian (57210261063)</t>
  </si>
  <si>
    <t>Explaining China’s large-scale land reclamation in the South China Sea: Timing and rationale</t>
  </si>
  <si>
    <t>Journal of Strategic Studies</t>
  </si>
  <si>
    <t>10.1080/01402390.2022.2040486</t>
  </si>
  <si>
    <t>https://www.scopus.com/inward/record.uri?eid=2-s2.0-85126066461&amp;doi=10.1080%2f01402390.2022.2040486&amp;partnerID=40&amp;md5=15d3b8af09ad083ca3122bb0cb674352</t>
  </si>
  <si>
    <t>Yu C.; Chang Y.-C.</t>
  </si>
  <si>
    <t>Yu, Chengyong (58249259000); Chang, Yen-Chiang (35263524900)</t>
  </si>
  <si>
    <t>58249259000; 35263524900</t>
  </si>
  <si>
    <t>China’s Incentives and Efforts against IUU Fishing in the South China Sea</t>
  </si>
  <si>
    <t>Sustainability (Switzerland)</t>
  </si>
  <si>
    <t>10.3390/su15097255</t>
  </si>
  <si>
    <t>https://www.scopus.com/inward/record.uri?eid=2-s2.0-85159288687&amp;doi=10.3390%2fsu15097255&amp;partnerID=40&amp;md5=2eab3c106724a030ff7d6ee8361e91e9</t>
  </si>
  <si>
    <t>The Golden Age of White Hulls: Deciphering the Philippines’ Maritime Diplomatic Strategies in the South China Sea</t>
  </si>
  <si>
    <t>Social Sciences</t>
  </si>
  <si>
    <t>10.3390/socsci12060337</t>
  </si>
  <si>
    <t>https://www.scopus.com/inward/record.uri?eid=2-s2.0-85163638674&amp;doi=10.3390%2fsocsci12060337&amp;partnerID=40&amp;md5=3c9e517ee9a4b3fb6a3ec7025d5ee4c2</t>
  </si>
  <si>
    <t>Bettani S.A.; Ahmed Z.S.</t>
  </si>
  <si>
    <t>Bettani, Salman Ali (58928596200); Ahmed, Zahid Shahab (36052589100)</t>
  </si>
  <si>
    <t>58928596200; 36052589100</t>
  </si>
  <si>
    <t>China and Regional Security in South and Southeast Asia: A Comparative Analysis of ASEAN and SAARC</t>
  </si>
  <si>
    <t>10.21512/jas.v11i2.9600</t>
  </si>
  <si>
    <t>https://www.scopus.com/inward/record.uri?eid=2-s2.0-85187292160&amp;doi=10.21512%2fjas.v11i2.9600&amp;partnerID=40&amp;md5=4a5158440b9f9ccc73a4aade927f870f</t>
  </si>
  <si>
    <t>Hu L.</t>
  </si>
  <si>
    <t>Hu, Le (57225054724)</t>
  </si>
  <si>
    <t>Examining ASEAN’s effectiveness in managing South China Sea disputes</t>
  </si>
  <si>
    <t>10.1080/09512748.2021.1934519</t>
  </si>
  <si>
    <t>https://www.scopus.com/inward/record.uri?eid=2-s2.0-85109045037&amp;doi=10.1080%2f09512748.2021.1934519&amp;partnerID=40&amp;md5=6672b3a895caf845726c2ef96164fe4e</t>
  </si>
  <si>
    <t>Liu K.</t>
  </si>
  <si>
    <t>Liu, Kerry (57194574240)</t>
  </si>
  <si>
    <t>China’s Territory (Disputes) and the China Threat: An Empirical Analysis from the Perspective of the English-Speaking Public</t>
  </si>
  <si>
    <t>10.2307/JTMS.11.1.87</t>
  </si>
  <si>
    <t>https://www.scopus.com/inward/record.uri?eid=2-s2.0-85191024882&amp;doi=10.2307%2fJTMS.11.1.87&amp;partnerID=40&amp;md5=1a3b65319bb3c56b76ef4621e7edafdb</t>
  </si>
  <si>
    <t>Panao R.A.L.</t>
  </si>
  <si>
    <t>Panao, Rogelio Alicor Labalan (56192649300)</t>
  </si>
  <si>
    <t>Winning hearts in Southeast Asia? News sentiment on China amidst the US–PRC trade war</t>
  </si>
  <si>
    <t>Asian Journal of Comparative Politics</t>
  </si>
  <si>
    <t>10.1177/20578911241252692</t>
  </si>
  <si>
    <t>https://www.scopus.com/inward/record.uri?eid=2-s2.0-85193638955&amp;doi=10.1177%2f20578911241252692&amp;partnerID=40&amp;md5=ae115c206a2bbdf10a6409345155abbe</t>
  </si>
  <si>
    <t>Article in press</t>
  </si>
  <si>
    <t>Dannhauer P.</t>
  </si>
  <si>
    <t>Dannhauer, Pia (57913771700)</t>
  </si>
  <si>
    <t>Elite role conceptions and Indonesia’s agency in the ASEAN Outlook on the Indo-Pacific: reclaiming leadership</t>
  </si>
  <si>
    <t>10.1080/09512748.2022.2125999</t>
  </si>
  <si>
    <t>https://www.scopus.com/inward/record.uri?eid=2-s2.0-85139100436&amp;doi=10.1080%2f09512748.2022.2125999&amp;partnerID=40&amp;md5=f090785e507a85e833c72e2adf2a10ad</t>
  </si>
  <si>
    <t>Malaysia’s “Triadic Maritime Diplomacy” Strategy in the South China Sea</t>
  </si>
  <si>
    <t>All Azimuth</t>
  </si>
  <si>
    <t>10.20991/ALLAZIMUTH.1455442</t>
  </si>
  <si>
    <t>https://www.scopus.com/inward/record.uri?eid=2-s2.0-85200894076&amp;doi=10.20991%2fALLAZIMUTH.1455442&amp;partnerID=40&amp;md5=7bc6f55541fe5d1d4b91fb19e58d78cf</t>
  </si>
  <si>
    <t>Indrarajah T.; Desimoni V.; Jules T.D.</t>
  </si>
  <si>
    <t>Indrarajah, Tinesh (58922079800); Desimoni, Victoria (58150306800); Jules, Tavis D. (54973890800)</t>
  </si>
  <si>
    <t>58922079800; 58150306800; 54973890800</t>
  </si>
  <si>
    <t>What CARICOM can learn from other regionalism(s) in an era of deglobalisation</t>
  </si>
  <si>
    <t>Round Table</t>
  </si>
  <si>
    <t>10.1080/00358533.2024.2307798</t>
  </si>
  <si>
    <t>https://www.scopus.com/inward/record.uri?eid=2-s2.0-85186868561&amp;doi=10.1080%2f00358533.2024.2307798&amp;partnerID=40&amp;md5=30f04e486b2a46f5657402ad32d5f019</t>
  </si>
  <si>
    <t>Bartlett B.</t>
  </si>
  <si>
    <t>Bartlett, Benjamin (57219097749)</t>
  </si>
  <si>
    <t>Why do states engage in cybersecurity capacity-building assistance? Evidence from Japan</t>
  </si>
  <si>
    <t>10.1080/09512748.2023.2183242</t>
  </si>
  <si>
    <t>https://www.scopus.com/inward/record.uri?eid=2-s2.0-85149409578&amp;doi=10.1080%2f09512748.2023.2183242&amp;partnerID=40&amp;md5=66cf7eb5aecb9bb00a318d7760e3b669</t>
  </si>
  <si>
    <t>Chang Y.-C.; Duan X.; Yang L.</t>
  </si>
  <si>
    <t>Chang, Yen-Chiang (35263524900); Duan, Xingyi (58137451100); Yang, Ling (59121423800)</t>
  </si>
  <si>
    <t>35263524900; 58137451100; 59121423800</t>
  </si>
  <si>
    <t>The legal basis for Chinese vessels navigating in the South China Sea</t>
  </si>
  <si>
    <t>10.1016/j.marpol.2024.106229</t>
  </si>
  <si>
    <t>https://www.scopus.com/inward/record.uri?eid=2-s2.0-85194187945&amp;doi=10.1016%2fj.marpol.2024.106229&amp;partnerID=40&amp;md5=23612b31b709025b9a05029d75f5dfd7</t>
  </si>
  <si>
    <t>Brunei’s silent claims in the South China Sea: a case for the theory of trade expectations</t>
  </si>
  <si>
    <t>10.1080/23311886.2024.2317533</t>
  </si>
  <si>
    <t>https://www.scopus.com/inward/record.uri?eid=2-s2.0-85185108776&amp;doi=10.1080%2f23311886.2024.2317533&amp;partnerID=40&amp;md5=64bffa21fc8774245e1d59fe43bb241d</t>
  </si>
  <si>
    <t>Kao P.-S.; Soong J.-J.</t>
  </si>
  <si>
    <t>Kao, Pei-Shan (57258684700); Soong, Jenn-Jaw (56765759000)</t>
  </si>
  <si>
    <t>57258684700; 56765759000</t>
  </si>
  <si>
    <t>China’s Marine Political Economy in the South China Sea and Its Development Strategy under the Belt and Road Initiative: Opportunities, Challenges, and Trends on the 14th Five-Year Plan</t>
  </si>
  <si>
    <t>10.1080/10971475.2024.2384170</t>
  </si>
  <si>
    <t>https://www.scopus.com/inward/record.uri?eid=2-s2.0-85200119697&amp;doi=10.1080%2f10971475.2024.2384170&amp;partnerID=40&amp;md5=25edea541376f5d3f4b60269bcc9583a</t>
  </si>
  <si>
    <t>Nguyen H.-K.T.</t>
  </si>
  <si>
    <t>Nguyen, Hong-Kong To (58793381200)</t>
  </si>
  <si>
    <t>Mapping a decade of disputant and non-disputant behaviors in the South China Sea dispute</t>
  </si>
  <si>
    <t>10.1016/j.marpol.2024.106189</t>
  </si>
  <si>
    <t>https://www.scopus.com/inward/record.uri?eid=2-s2.0-85193958975&amp;doi=10.1016%2fj.marpol.2024.106189&amp;partnerID=40&amp;md5=b3c9486d3f6788a1c5858d7526f2e3c5</t>
  </si>
  <si>
    <t>Kliem F.</t>
  </si>
  <si>
    <t>Kliem, Frederick (57202950651)</t>
  </si>
  <si>
    <t>Not our war. What ASEAN governments’ responses to the Ukraine war tell us about Southeast Asia</t>
  </si>
  <si>
    <t>10.1080/09512748.2023.2202925</t>
  </si>
  <si>
    <t>https://www.scopus.com/inward/record.uri?eid=2-s2.0-85153117758&amp;doi=10.1080%2f09512748.2023.2202925&amp;partnerID=40&amp;md5=3719c797841aaf97e6f233be4b1d1549</t>
  </si>
  <si>
    <t>Duxbury A.</t>
  </si>
  <si>
    <t>Duxbury, Alison (35830658400)</t>
  </si>
  <si>
    <t>Rewriting the law of international organizations: Whither the Asia Pacific?</t>
  </si>
  <si>
    <t>Leiden Journal of International Law</t>
  </si>
  <si>
    <t>10.1017/S092215652400013X</t>
  </si>
  <si>
    <t>https://www.scopus.com/inward/record.uri?eid=2-s2.0-85193267005&amp;doi=10.1017%2fS092215652400013X&amp;partnerID=40&amp;md5=979023a3a4970953df75c3e65be357ba</t>
  </si>
  <si>
    <t>Count of Year</t>
  </si>
  <si>
    <t>Total</t>
  </si>
  <si>
    <t>Wen keen to mend fences with Asean
Teddy Ng
Published: 12:00am, 22 Oct 2011
Premier Wen Jiabao has called on Asean member states to improve their bilateral ties with China by establishing mutual trust and has pledged to consolidate financial links with its neighbours during the global financial crisis.
Wen made his promise at the opening ceremony of the China-Asean summit in Nanning in Guangxi province yesterday.
China's ties with members of the Association of Southeast Asian Nations have soured recently because of territorial disputes and the suspension of energy projects. Wen said China was willing to settle disputes with its neighbours and called on Myanmar to allow bilateral projects to proceed.
Analysts see Wen's remarks as an attempt to ease tensions with China's Asean neighbours, after a recent upsurge of antagonism caught Beijing off guard.
Fan Hongwei, a Southeast Asian affairs expert at Xiamen University, said Beijing was worried regional disputes would become international ones. Myanmar's decision to suspend a US$3.6 billion dam project and release 6,300 prisoners was an indication that Southeast Asian countries were clinging to the West, he said.
'Beijing does not want matters in the region to get complicated with the involvement of more countries,' Fan said. 'By linking the tensions to economic and trade ties, China hopes that the countries involved can think about the harmful impact to bilateral ties and interests caused by the conflicts.'
In his speech at the summit, Wen said both sides should act in the spirit of equality, mutual trust and seeking common ground while shelving differences over political, economic, religious and cultural affairs.
'China will continue to follow the long-term policy of pursuing good neighbourly relations and partnership with our neighbours, and be a good neighbour, good partner and good friend of Asean forever,' he said.
'China is very sincere in advancing its relations with Asean and commits itself to deepening practical bilateral co-operation. Friendly China-Asean relations have withstood the test of time and past tribulations.'
Wen pledged that China would continue to import more from Asean countries - the value of imports surged 37.5 per cent to US$292.8 billion last year - expand the scope of currency swaps in the region and boost the development of the Asian bond market.
He added that China and Asean should enhance co-operation in the wake of the global financial crisis.
In his meeting with Malaysian Prime Minister Najib Razak yesterday, Wen said bilateral co-operation would lead to mutual benefits.
Without mentioning any specific project, Wen told Myanmar vice-president Tin Aung Myint Oo on Thursday that it was in the common interests of both countries to carry out bilateral programmes. He urged the two sides to fulfil the commitments reached by their leaders with 'concrete actions'.
Beijing reached an agreement with Vietnam last week to seek a long-term resolution to disputes in the South China Sea after an increase in tensions brought on by India agreeing to explore for oil with Vietnam in the disputed waters.
Conditions in the region are still volatile. On Thursday, China asked the Philippines to return 25 small boats that were seized when being towed in waters near the Spratly Islands in the South China Sea.</t>
  </si>
  <si>
    <t>-</t>
  </si>
  <si>
    <t>China and Malaysia will significantly upgrade bilateral ties to boost military co-operation and nearly triple two-way trade.
President Xi Jinping said after talks with Malaysian Prime Minister Najib Razak that both nations would step up co-operation to promote regional stability as he continued his maiden presidential tour of Southeast Asia in Kuala Lumpur.
Xi's trip is seen as an attempt by Beijing to gain leverage over the Association of Southeast Asian Nations (Asean), especially over the handling of territorial disputes and offset the impact of Washington's so-called pivot to Asia. With US President Barack Obama scrapping his Asian tour due to the US government shutdown, Xi's meetings with regional leaders have grabbed the limelight.
"We agreed to work together to advance the development of the China-Asean strategic partnership and continue to promote East Asian co-operation," Xi said. "China will continue to provide firm support to the central role of Asean in East Asian co-operation and we will be happy to see a greater role played by Malaysia in this region."
China's role in Southeast Asia has been hampered by maritime disputes in the South China Sea and suspicions among Asean nations about China's military build-up. Malaysia, which has territorial claims in the disputed waters, has not reacted as strongly to Beijing's claims as Asean neighbours Vietnam and the Philippines.
In a show of strengthened ties, Xi and Najib witnessed the signing of a five-year commitment on co-operation. In addition to boosting trade, worth US$57 billion last year, to US$160 billion by 2017, the two nations agreed to step up military exchanges and law enforcement co-operation.
"We have agreed to strengthen our partnership with naval defence, joint military exercises to combat terrorism and to promote security," Xi said. "This will create a sound environment for peace and the prosperity of both countries."
Najib said he would visit China next year, and he had "great confidence that under Xi's leadership, China will continue to make much progress and become an economic powerhouse and a major force in providing momentum for global economic growth".
Xi began his Southeast Asian tour, his first since being installed as president, on Wednesday. On Thursday he became the first foreign leader to address Indonesia's parliament.
During a lunch with the local Chinese community, Xi said Malaysian singer Jasmine Leong was well known in China, and that he felt glad to visit Malaysia again after 21 years.
Xi will travel to Bali today for the Asia-Pacific Economic Co-operation (Apec) summit before returning to Beijing.</t>
  </si>
  <si>
    <t>SINGAPORE -- Differences between the U.S. and Japan over tariff reductions and the reluctance of Southeast Asian nations to eliminate advantages their state-owned companies have over private rivals have hampered negotiations for the Trans-Pacific Partnership free-trade pact. Singaporean Prime Minister Lee Hsien Loong has called on these countries to exercise a "significant amount of political will" to help wrap up the talks by the end of the year.
     A TPP deal is all the more important for its political implications in a region where China's influence is growing. "(The TPP) brings together both sides of the Pacific, developed countries as well as developing countries," Lee said in a recent interview with The Nikkei. "It has strategic significance, not just economic significance."
     The Singaporean leader also maintained that it is vital, diplomatically and economically, for Japan to mend its frayed ties with its key neighbors. "If Japan can manage good, stable relations with South Korea and China, then I think (it will) have the external preconditions both to proceed with restructuring and the revitalization of (its) domestic economy and to play an active role in the region," he said.
Q: What is your outlook for Asia's economies? Can the Association of Southeast Asian Nations maintain its growth momentum over the next few years?
A: The Asean economies are not in a bad state. Malaysia and Indonesia have been making steady growth, and so have the Philippines and Vietnam. Thailand, of course, has political troubles that have affected confidence and growth. In Singapore, the annual economic growth is at 3%-plus. If we can sustain that, we will be doing well.
Q: How would you rate the TPP talks so far? What issues still need to be addressed?
A: They have made a lot of progress, but they have not quite completed the talks. One of the issues is between America and Japan. We know the most difficult issues on the table, and they include things like rice, automobiles, government procurement and state-owned enterprises.
     I hope we will be able to wrap it up this year; otherwise, we will miss the U.S. timetable and may be into a new president. I think a lot of work and a significant amount of political will have to go into that.
Q: What can Japan do toward achieving that goal?
A: In Japan, when you talk about agriculture, particularly rice, sugar, dairy products or beef, these are very sensitive matters for any government and especially for a Liberal Democratic Party government. From a long-term point of view, it is very desirable for Japan to liberalize these markets.
     If you want Japan to play a full role in the global economy and to revitalize its own economy, this is a reform that cannot be avoided. You can put it off for some time but ultimately, if Japan does not change its rules and become closer to the arrangements in other countries, it is not good for Japan.
Q: Singapore was one of the first countries to initiate the multilateral framework that led to the TPP talks. What is the economic and political significance of the trade pact?
A: I think it is vital. We talk about free trade in the Asia-Pacific region as the long-term ideal, but a major step toward the ideal is in the TPP. It brings together both sides of the Pacific, developed countries as well as developing countries. It has strategic significance, not just economic significance.
     For Japan not to be part of the TPP, it is a loss to the TPP but is also a disadvantage for Japan. It will be an additional link which will strengthen its ties with America, and an additional way in which Japan can play an active role in contributing to the stability and prosperity of the region, which is one of Prime Minister Shinzo Abe's important objectives.
Q: In Asean, there are many frameworks for economic integration, such as the TPP, the Asean Economic Community and the Regional Comprehensive Economic Partnership. How can they coexist?
A: It is like the North American Free Trade Agreement. The U.S. is in Nafta together with Mexico and Canada, but they are also in the TPP. So similarly, in Asean, we have a regional agreement amongst our own countries.
     At the same time, we have links outside with America and many partners to the TPP. We also have links with China, India and some of the same partners under the RCEP. Japan has many trade agreements with different partners, so Asean must be able to do the same.
Q: What is the timeline for completing the AEC and what are the remaining issues?
A: Our target is to complete it by the end of 2015 -- that is about a year and a half from now. We have more than 70% done on the items.
     In terms of nontariff barriers, we also need to bridge some (gaps in) understanding. It is not easy to tell whether they have legitimate policy reasons, or whether they are really hidden barriers to trade. We need to make progress to limit and roll back, if possible, the nontariff barriers. I hope we will be able to make more progress in the next 18 months.
Q: How will Asean address the tension between its members and China over territorial disputes in the South China Sea?
A: It is an issue between China and Asean in the sense that Asean has an interest in the stability of the region and Asean is discussing a code of conduct with China. We hope we will have a set of rules that all countries can abide by, which will minimize the chance of an incident at sea, a misunderstanding or an escalation.
     It is one aspect of the relations between Asean and China. There are many other aspects, and many of them are very positive -- cooperation, financial assistance, human resource development and trade. So Asean-China relations are multifaceted, and the South China Sea is one (aspect of them). We will have to try our best to make sure it does not color the whole relationship.
Q: What is your take on China's positions over the South China Sea?
A: I understand the Chinese in a way because they have made it quite clear that they want to discuss territorial and maritime disputes on a bilateral basis with Vietnam, with the Philippines, with Malaysia and so on. What exactly is the legal basis for their claim, what exactly they are claiming, in very precise terms, they have not made clear. And some of their experts have said that it is not in their interest to make this very clear. That part is ambiguous.
Q: Is the balance of power changing as China's economic presence grows and America's influence declines in Asia?
A: I do not think that the U.S. presence is decreasing. In fact, the Americans have talked about rebalancing toward Asia. President Barack Obama has just been in several Asean countries recently, as well as Japan. I think the U.S. fully understands the importance of the region and has every intention of staying here over the long term.
     The Chinese presence is growing, there is no doubt. There will have to be a shift and adjustment in the balance and in the relationship between China and the U.S., but also involving the other countries, Japan, Asean, getting used to this new arrangement and finding a new role to play in this new balance. It is most important for both the U.S. and China to be positively engaged in the region, and to have a certain balance in their influence, in their interests, in the way in which they interact with one another.
Q: What roles should Asean and Japan play in creating this new balance?
A: Asean is not a superpower; Asean is a group of countries. We hope we can play a role in the regional architecture. We hope Asean can be in a central position and all the other powers find it useful to have Asean as a host in the forum for this cooperation and for this dialogue and exchange. But to do that, Asean has to be effective, cohesive and must have substantial cooperation, which is why we are working on the Asean community.
     For Japan, the first role is to establish relations of trust and confidence with its neighbors, especially those (with which there has not been full reconciliation) after World War II. If Japan can manage good, stable relations with South Korea and China, then I think (it will) have the external preconditions both to proceed with the restructuring and the revitalization of (its) domestic economy and to play an active role in the region.
Q: How would you evaluate Prime Minister Abe's economic reforms?
A: I think he has pursued them with complete single-mindedness, and it has changed the mood in Japan. The first arrow and the second arrow (bold monetary policy and flexible fiscal policy) are an immediate stimulus to confidence.
     The third arrow is very important because that is what makes it sustainable, but (it) takes longer to arrive. This work requires a tremendous amount of political resolve in order to change mindsets in the Japanese economy. There are also issues to do with liberalizing your labor markets, your employment practices and the business environment so that big and small companies will be able to operate in a more flexible and open way. These are not easy issues, but (they are) crucial.
Q: Singapore is moving toward bigger government spending in areas such as health care. Will the city-state become a "big government" by, say, raising taxes?
A: I do not think we can be a big government like the Europeans. In Europe, the government takes up about half of gross domestic product quite commonly. In Singapore, government spending was 14% of GDP in 2013.
     If we go forward with greater social burdens, the government's share may go up to 20% of GDP, but I do not think you can reach 40% or 45%. And whatever it is we spend, we have to earn. And that means at some point, we will have to look to our revenues and decide whether we have enough, and if not, where we will be able to raise new revenues. It is unavoidable. Over the next five to 10 years, we will have to look at this very seriously.
Q: Japan and Singapore share some common issues, such as an aging population. How can the two countries cooperate in these areas?
A: We can learn from Japan in terms of aging, because Japan has a lot of experience making arrangements for the elderly, such as arrangements for nursing and keeping in touch with old folks living on their own.
     In terms of population overall, Singapore has been grappling with the issue of immigration of foreign workers. Japan has been very, very tight on immigration for foreign workers. But if Japan, at some point, can consider (easing immigration rules) as a politically feasible option, then our experience may be interesting to look at.</t>
  </si>
  <si>
    <t>HANOI -- America's top-ranking military officer met with his Vietnamese counterpart here Thursday, underscoring their countries' rapidly deepening military relationship.
     Martin Dempsey became the first U.S. Joint Chiefs of Staff chairman to set foot in this country since the Vietnam War in 1971. At the outset of his meeting with Do Ba Ty, Vietnam's army chief of staff, Dempsey said his visit showed Vietnam's importance.
     Military contact between the two countries remained infrequent even after they normalized diplomatic relations in 1995. In 2011, they signed a memorandum of understanding on defense cooperation, agreeing to work more closely in maritime security and other areas. China's growing blue-water presence has hastened their rapprochement. Last December, U.S. Secretary of State John Kerry announced $18 million in aid to Vietnam for maritime security, including five high-speed patrol ships.
     Washington ended its ban on exports of nonlethal military equipment to Vietnam in 2007. An embargo on weapons sales may be lifted soon, Sen. John McCain told reporters here this month. At first, the arms trade should be limited to "defensive capabilities, such as coast guard and maritime systems," McCain said.
     Vietnam's defense spending grew roughly fourfold in the past decade. But diversifying military procurement remains a challenge. The armed forces still rely mostly on Soviet-era and Russian-made gear.
     The U.S. and Vietnam share concerns about Chinese assertiveness in the region. From May to July, Vietnamese and Chinese ships were locked in a standoff around an oil rig in the South China Sea. It was put there by China amid Vietnamese claims of territorial encroachment. Hanoi sees the U.S. as a shield against China, behind which Vietnam can build up its own forces. America, meanwhile, has recently forged a new military pact with the Philippines, another Southeast Asian country embroiled in territorial disputes with China.
     Four decades since the end of the Vietnam War, Hanoi hopes that a visit by President Barack Obama will show both Vietnamese and the rest of the world that the two former foes are now bound by friendship. But Washington insists Vietnam must show more respect for human rights if it wants access to American weaponry. Troublingly, bloggers critical of Vietnam's one-party Communist rule have wound up behind bars recently.
     The Obama administration is also concerned about inconsistency in Vietnam's stance toward China. Vietnamese criticism of its huge neighbor to the north has diminished since the offending oil rig was removed, leaving Washington struggling to discern Hanoi's true intentions.</t>
  </si>
  <si>
    <t>SINGAPORE - Freedom of navigation on the high seas is an economically existential issue for Singapore, as trade flow is vital to the country's existence as a sovereign state, Foreign Affairs Minister K. Shanmugam told Parliament on Thursday.
At the same time, China has confirmed at the highest levels, including through Premier Li Keqiang, that it guarantees freedom of navigation in the South China Sea, he noted during the Committee of Supply debate on his ministry's budget.
Mr Shanmugam was replying to a question by Non-Constituency MP Gerald Giam, who expressed concern about China's extensive building on reefs and islands in those waters. Mr Giam asked what Singapore, and Asean, would do if China threatens freedom of navigation.
"At this stage, that remains a hypothetical question," Mr Shanmugam replied, citing the assurances by top Chinese officials.
"We cannot presuppose, one way or another, whether China is entitled to build on these islands and reefs, because that's a circular question," he said.
"It depends on whether China owns those islands and to what extent it has an EEZ (exclusive economic zone) and to what extent it has territorial sea, and whether these are islands which are capable of generating either territorial sea or EEZ.
"And these are questions on which we take no position," he said. "They are to be sorted out between the various claimant states and subject to international law."
Asean has begun negotiations with Beijing to agree on a framework or Code of Conduct to better manage tensions at sea.
Four Asean countries - Brunei, Malaysia, the Philippines and Vietnam - have territorial claims in the South China Sea that overlap with China, and tense incidents over the past year have lent urgency to the need for this code.
Singapore's task is to focus on this code, said Mr Shanmugam, who noted that China has indicated its willingness to work towards it, most recently at the Asean-China Summit in Naypyitaw last November. Asean also provides a platform, whether at the Asean-China, Asean Plus Three or East Asia Summits, for officials to discuss these issues with China at the highest levels, he added.
Dr Lim Wee Kiak (Nee Soon GRC), Ms Ellen Lee (Sembawang GRC) and Mr Ong Teng Koon (Sembawang GRC) had also asked about the situation in the Asia-Pacific, including relations between major powers.
Against the backdrop of tensions in the South China Sea, Mr Shanmugam stressed it was important to remember that the Asean-China partnership is a broadbased one.
China is either the largest or second largest trading partner and investor in most Asean countries, and the relationship between Beijing and South-east Asian capitals has deepened.
"If you look at mainland South-east Asia, it is being criss-crossed with infrastructure, often financed by Chinese capital and built by Chinese companies, which integrates mainland South-east Asia effectively with southern China," he said.
"It increases their economic vibrancy and the whole region is becoming integrated economically."
China is also the engine driving important regional initiatives such as the Asian Infrastructure Investment Bank, which aims to fund key development projects.
"We try and keep relations on an even keel," he added, noting that Singapore takes over from Thailand as country coordinator of Asean-China dialogue relations later this year.
"We have limited influence on major power relations," he said, adding that Singapore has created a small role through its active participation in regional platforms.
"We try to be an honest broker in dealing with these issues and in our relations with the major powers," he said. "We work closely with like-minded countries to encourage the constructive engagement of the major powers in our region."</t>
  </si>
  <si>
    <t>SINGAPORE -- This year marks the 70th anniversary of the end of World War II. Asia has gone through huge changes over the past seven decades, with many nations gaining independence and experiencing phenomenal economic growth. Geopolitically, however, tensions remain, as seen in the territorial disputes in the South and East China seas. Also raising concerns is the tug of war between China and the U.S. for influence in Southeast Asia.
Bilahari Kausikan
     Bilahari Kausikan, former permanent secretary of Singapore's foreign ministry, recently told the Nikkei Asian Review that a new Asian order has not been set yet. He said the U.S., China and Japan need to work out rules to prevent tensions from escalating, and that in the interim, member states of the Association of Southeast Asian Nations will maintain their traditional stance of not siding with any of the big powers.
     The former diplomat also said that unlike China and South Korea, Southeast Asian nations are forward-looking in how they view relations with Japan, despite the suffering caused by its military aggression during the war. But he also stressed that Japan needs to come to terms with certain historical issues.
     Bilahari hinted that Japan should be more strategic in dealing with its neighbors for its own good to realize the "proactive pacifism" brand of diplomacy espoused by Prime Minister Shinzo Abe.
Q: Seventy years have passed since the end of the war. Has Asia embraced a new international order?
A: During the Cold War, there was a clear line to define the international structure. When the Cold War ended, the pieces started moving in various directions, and they are still moving. In Asia, what replaces the Cold War order is yet to be determined. Building the new order is going to take a long time. Hopefully, the process goes peacefully, although there may be conflicts.
     The main risk is not a war by somebody's design, but conflicts by accidents. We need mechanisms to minimize the risk of accidents, and if accidents happen, to contain them as quickly as possible.
Q: What do Southeast Asian nations hope to see in a new Asian order?
A: Southeast Asian countries would like to have best possible relationships with all major powers -- Japan, China, the U.S., Australia, India, [South] Korea, and even with Russia. ASEAN is in an intersection of interests of these major powers. It is not in our interest to choose sides. Why must we choose?
     The U.S. is still very fundamental and irreplaceable for stability in East Asia. While it is still a necessary condition for stability, it is no longer a sufficient condition. The U.S. and China have to find equilibrium. The relationship between these two major powers is unique, characterized both by profound interdependence of a new type and strategic distrust.
     In today's world, the level of economic interdependence is so profound that the U.S. and China can't disentangle from one another, much more so than what it was like between the British and Germans before World War I. The U.S. and China have begun, now with increasing intensity, searching for the equilibrium. But it will take a long time because, in order to accommodate each other, they have to make psychological, political and strategic adjustments.
     It is similar to [the relationship between] China and Japan, to a lesser degree. My personal point of view is that the territorial issues between China and Japan can never be solved; they can only be managed. The urgent need is to agree on some rules of engagement that will minimize the risk of accidents. Because when an accident happens, it can get out of hand. Some tentative discussions have begun, but they are at an even more rudimentary stage than the talks between the U.S. and China.
     Frankly, the rest of us in Southeast Asia don't have a choice. When major powers reach a new accommodation ... we will just have to adjust to it.
Q: How are Southeast Asian countries adjusting to China's rise?
A: Big countries will always evoke some anxiety in small nations. This have been enhanced by some of the actions China has taken. But China is not a threat to us. The economies are so entangled, and while China may be a huge challenge, it is [also] a huge opportunity.
     China wants its interests to be reflected in the international order. It is natural for major powers, and China is now a major power. It is understandable that China wants to change some of the international rules, but the important thing is how they do it. They have to follow the existing rules and frameworks about how to change the rules. If you just see South China Sea issues, [China's] record is mixed -- sometimes China does not work within the rules. That causes concerns among us.
Q: For Japan, history issues have been a major thorn in relations with China and South Korea. What is Southeast Asia's stance?
A: China is trying to use the history issue to turn ASEAN countries against Japan. It will not work. The attitudes of several members of ASEAN toward the Japanese occupation are not entirely unfavorable. Singapore, the Philippines and some other countries suffered badly during the war, we made the decision long ago to look forward in our relationship with Japan. Japan played an important role in Southeast Asia's economic development. Even though Japan's political influence declined during its "lost 20 years," the influence of Japanese business, trade, investment and technology did not change.
     China's criticism of Japan also causes anxiety among ASEAN countries, because today China targets Japan for its own domestic political needs, but tomorrow when the needs change, the target may shift.
     Nonetheless, if there is a controversy between China and Japan, most Southeast Asian countries don't want to get involved and stay away. So it undermines the more active diplomatic role that Prime Minister [Shinzo] Abe wants Japan to play in Southeast Asia, as elsewhere. In order for Japan to play this role, the history issue has to be reconciled.
     The argument by Japan's right-wing nationalists about the number of civilians killed in the Nanjing Massacre, or whether comfort women were volunteers, cannot be accepted by anybody. It does not matter to us because either way, a large number of civilians were killed and suffered. Don't make this argument, because you can't win.
     The Yasukuni Shrine issue is [similar]. The issue isn't whether a prime minister visits the shrine, where class-A war criminals are enshrined, or not. But [it] is that it creates a controversy. I don't even see it as a sign of lack of Japan's repentance; I just see it as an unnecessary distraction from the more important diplomatic and political role that Japan wants to play. Of course, it is something leaders have to decide -- whether it is worth it or not.
Q: All ASEAN countries were founding members of the new China-led Asian Infrastructure Investment Bank, while the U.S. and its allies, including Japan, have not joined. What was behind the decision to join? 
A: There is demand for the AIIB. Firstly, if your existing institutions do not reflect changing realities, you should not be surprised to see new institutions created. Secondly the capital need in Asia is so enormous that there is room for one more institution other than the Asian Development Bank.
     There are governance issues yet to be resolved. I don't think it has been sufficiently discussed. But it is better to be in and try to do something with it, [rather] than standing outside to grumble. The U.S. made a great mistake in asking its allies, Japan, [South] Korea and Australia not to join the AIIB. It is better to have your friends in and try to reshape the evolution of the institution.
Interviewed by Nikkei staff writer Mayuko Tani</t>
  </si>
  <si>
    <t>SINGAPORE and China have signalled their intentions to further cooperation on key projects, while taking stock of the factors that have underpinned 25 years of warm diplomatic relations.
Singapore's President Tony Tan Keng Yam and Chinese President Xi Jinping agreed to work towards an upgrade of the China-Singapore Free Trade Agreement (FTA), as the two leaders met on Friday in a key leg of Dr Tan's maiden state visit to China as president.
An upgrade is timely given that the pact came into effect in 2009, said a statement from Sinagapore's Ministry of Foreign Affairs (MFA) on Friday. Dr Tan expressed hope that the upgrade will commence within the year and be concluded swiftly.
Dr Tan and Mr Xi also noted the good progress made on the exploration of a third government-to-government project in western China. The two governments had earlier worked together on the Suzhou Industrial Park and the Sino-Singapore Tianjin Eco-City.
Mr Xi said that the third project would be a priority and can serve as a demonstrative project for China's "One Belt One Road" initiative, as well as the Western Region Development and the Yangtze River Economic Belt strategies.
The pledge to work on these bilateral initiatives come as both sides reviewed the warm ties that have been fostered since diplomatic relations were formalised 25 years ago.
Dr Tan is in China for his first state visit as president, as part of a series of activities to mark the occasion.
In their meeting on Friday, Mr Xi attributed the successful relationship to the big-picture, long-term approach that leaders from both countries have taken, state media Xinhua reported.
China and Singapore both focus on development strategies and look for economically complementary activities to work on, Mr Xi noted, adding that the two countries have also built effective mechanisms for cooperation.
He said that the two countries should continue to strengthen strategic communications and political trust, maintain high-level interactions, and deepen trade and economic cooperation.
Despite the regional tensions that have arisen due to territorial disputes in the South China Sea, Mr Xi on Friday told Dr Tan that China values the path of peaceful development and good neighbourliness. He said China wants to cooperate with Asean.
For its part, Singapore - which will take over as country coordinator for Asean-China Dialogue Relations in August - will work hard to build mutual trust and strengthen ties between Asean and China, Xinhua quoted Dr Tan as saying.
Mr Xi held a welcome ceremony for Dr Tan yesterday, complete with a 21-gun salute, and also hosted the Singapore leader to a state banquet at the Great Hall of the People. The two also witnessed the signing of three memorandums of understanding, in areas of education and research development.
On a busy day of political meetings, Dr Tan also met Premier Li Keqiang.
Dr Tan on Friday also jointly hosted a lunch reception with top Chinese political adviser Yu Zhengsheng, commemorating the 25th anniversary of diplomatic ties.
At the event, Mr Yu said the two countries "need to make sure that this friendship is passed from generation to generation and that our cooperation grows into a lush tree laden with fruits".
The two leaders also witnessed the handing over of a cheque for 3.7 million yuan (S$803,640) to the China Foundation of Poverty Alleviation, to build three hostels for 1,000 students in Ludian.
The funds were raised by Singapore companies operating in China for the county in south-western Yunnan, which was hit by an earthquake last August that killed more than 600 people.
Dr Tan ends his six-day state visit on Saturday.</t>
  </si>
  <si>
    <t>PHNOM PENH -- After years of calm neighborly relations, tensions are again rising on Cambodia's eastern border with Vietnam.
     In May, the opposition Cambodia National Rescue Party launched a campaign to address alleged Vietnamese encroachments along parts of the sensitive frontier. On June 28, more than a dozen people were injured when flag-waving Cambodian activists and monks, led by two CNRP lawmakers, clashed with Vietnamese authorities and villagers along the border in Svay Rieng Province.
     Then, on July 19, a 2,500-strong group trooped down to another area of the border, where they engaged in another tense standoff with Vietnamese villagers and Cambodian security forces.
     The fear of Vietnamese domination has deep historical roots in Cambodia.
     The issue is particularly fraught for Prime Minister Hun Sen and his long-serving Cambodian People's Party, which were installed in power by Vietnam in 1979 and have long been accused of doing Hanoi's bidding. In late 2005, several civil society figures were jailed briefly for criticizing a border treaty with Vietnam. Four years later, opposition leader and current CNRP President Sam Rainsy fled into self-exile after uprooting a temporary demarcation post along the border in Svay Rieng.
     But in response to the CNRP's current campaign against alleged border encroachments, the government has broken with tradition. For the first time in years, the Cambodian foreign ministry has dispatched diplomatic notes calling on Vietnam to halt all encroachment and activities in disputed areas.
Changing climate
After the clashes in Svay Rieng, a spokesman for the Ministry of Interior, Khieu Sopheak, described border-trooping opposition activists as "people who love the nation." Hun Sen himself has written to the United Nations requesting access to colonial-era maps in order to "verify" the demarcation process, and on July 16, even admitted the possibility that some border markers have been placed incorrectly. If that were found to be true, he vowed to "demand corrections."
     The government's surprising about-face is partly a result of the changing political climate inside Cambodia, where the CPP saw a steep loss of support at the last national elections in mid-2013. The party's share of National Assembly seats fell to just 68 from 90 out of 123 following a surge of support for the CNRP, whose campaign mixed crude anti-Vietnamese appeals with pledges to end corruption and raise wages. Analysts said that with crucial local and national elections looming in 2017 and 2018, Hun Sen was trying to take the initiative away from the opposition.
     "He can't allow this issue to be divisive," said Carlyle Thayer, a Vietnam expert at the Australian Defence Force Academy in Canberra. "For Hun Sen, you have to be posturing against the Vietnamese up to a certain point to deflate the sails of the opposition."
     Hun Sen's newfound willingness to address Vietnamese border issues also reflects a subtle shift in Phnom Penh's "special" relationship with Hanoi, which placed the CPP in power in 1979 and stationed a military occupation force in Cambodia throughout the 1980s.
     Over the past decade, China has slowly risen to become Cambodia's chief international patron, offering hundreds of millions of dollars in loans and investments and bankrolling the construction of roads, hydropower dams and other infrastructure.
     Analysts say strong Chinese support has had two main benefits for Hun Sen: One has been to provide an escape valve from the good governance demands of the country's traditional Western aid donors; the other has been to lessen Cambodia's independence on its old patron, Vietnam. "Hun Sen is moving closer to China, shifting [Cambodia's] traditional alliance from Vietnam to China," said Chheang Vannarith, a lecturer in Asia-Pacific Studies at Leeds University.
     The new strategic calculus was on stark display at a Association of Southeast Asian Nations meeting in Phnom Penh in mid-2012, when Cambodia chose to back China's position that the South China Sea dispute should be dealt with bilaterally rather than through a multilateral forum such as ASEAN. Cambodia's stand enraged some fellow ASEAN member-states that dispute China's claims in the region, including Vietnam. It also prevented ASEAN from issuing its customary joint communique for the first time in the bloc's 45-year history.
Closer than they look
While the South China Sea debacle demonstrated China's newfound political clout in Cambodia, it did not lead to a significant rupture in Phnom Penh's relationship with Hanoi. In December 2013, Hun Sen made a visit to Hanoi, where he thanked his hosts for the vital help they provided in overthrowing the murderous Khmer Rouge regime in 1979. Significantly, he spoke to his audience in Vietnamese. Given the damage this could do to his standing domestically, it could only be seen as a gesture of conciliation.
     At the same time, military relations remain close: During high-level talks in March, the two countries agreed to boost defense ties across the board. The economic relationship is also considerable: In 2014, bilateral trade volume reached $3.2 billion, and is expected to top $5 billion this year. Vietnam is also a key source of foreign direct investment in Cambodia; its total capital investment in Cambodia currently exceeds $3.3 billion.
     Just as the Vietnamese government took Cambodia's 2012 South China Sea stance in its stride, Thayer said it was acting in a clear-eyed manner about the current Cambodian politicking over the border. This was partly reflected in the dearth of coverage of the issue in Vietnamese state media, compared with the exhaustive coverage within Cambodia. "It's not led to a sharpened rhetoric in Vietnam, as far as I can see," Thayer said.
     The Cambodia-Vietnam Joint Border Committee convened in Phnom Penh on July 6 to 8 to address the current border tensions. During the talks, Vietnam's Deputy Foreign Minister Ho Xuan Son, co-chair of the meetings with Var Kimhong, chairman of Cambodia's Border Committee, agreed to halt construction of roads, a police station and irrigation ponds in disputed areas. The two sides also pledged to forge ahead with border demarcation and consult closely to "prevent any complications" in the bilateral relationship. After decades of border disputes, Thayer said that Hanoi's main interest was for a "stable border" with Cambodia. So far it seemed to be "playing ball with Hun Sen" in addressing border issues.
     Ou Virak, head of the Future Forum, a policy institute based in Phnom Penh, said Hun Sen could be expected to employ nationalist rhetoric without endangering his government's relationship with Vietnam. "Hun Sen definitely is not going to antagonize Vietnam even with China's support," he said.
     Despite the nationalist resurgence in its domestic politics, Vannarith Chheang of Leeds University said that "strategic diversification and hedging" would continue to be the cardinal aims of Cambodian foreign policy -- a natural goal for a small country hemmed in by more powerful neighbors. "The main principles are to build good relationships and friendships with everyone," he said.
     All of this suggests that that the old "special" -- read: subordinate -- relationship of the 1980s, when Cambodia was a satellite of Hanoi, has evolved into a pairing of relative equals -- just one of many partnerships that are important to Cambodia. Whether this will satisfy Cambodian nationalists, who still see Hun Sen wearing a Vietnamese leash, remains to be seen.
     But Ou Virak said that the CNRP's posturing against Vietnam in the runup to the 2017 and 2018 elections runs the risk of playing into Hun Sen's hands, in the sense that it could distract attention from more pressing problems such as land grabs, deforestation and systemic corruption. "If Hun Sen's only required agenda to win [the] 2018 election is to be somewhat a patriot and nationalist against Vietnam. It's the easiest card he can play," Virak said.</t>
  </si>
  <si>
    <t>Malaysian Prime Minister Najib Razak called on world leaders to confront Islamist extremism, saying its "barbaric acts" do not represent any race or religion, as he opened a regional summit overshadowed by a spate of attacks around the globe.
Islamist militants killed 19 people in an attack on a hotel in Mali on Friday before Malian commandos stormed the building and rescued 170 people, many of them foreigners. This came a week after Islamic State militants killed 129 people in coordinated attacks in Paris.
"The perpetrators of these cowardly and barbaric acts do not represent any race, religion or creed, nor should we allow them to claim to do so," Najib said in his opening speech at the ASEAN summit.
"They are terrorists and should be confronted as such, with the full force of the law."
Malaysia has deployed extraordinary security measures around Kuala Lumpur as leaders from 18 countries, including U.S. President Barack Obama, arrived for a pair of weekend summits.
Obama said on Saturday the Mali hotel attacks only stiffened the resolve of the United States and its allies, which would be relentless in fighting those targeting its citizens and would allow militants no safe haven.
"With allies and partners, the United States will be relentless to those who target our citizens," Obama said in opening remarks to ASEAN business executives. "We will continue to root out terrorist networks. We will not allow these killers to have a safe haven."
ASEAN leaders (L-R) Philippines President Benigno Aquino III, Indonesia President Joko Widodo, Cambodia Prime Minister Hun Sen, Brunei Sultan Hassanal Bolkiah, Laos Prime Minister Thongsing Thammavong, Malaysia Prime Minister Najib Razak, Vietnam Prime Minister Nguyen Tan Dung, Thailand Prime Minister Prayut Chan-o-cha, Singapore Prime Minister Lee Hsien Loong and Myanmar President Thein Sein during the opening ceremony of the 27th ASEAN summit in Kuala Lumpur, Malaysia. Photo: EPA
Most of the leaders arrived from the Asia-Pacific Economic Cooperation (APEC) summit in Manila. Both the APEC meeting and the ASEAN summit typically focus on economic issues but have been overshadowed by the terrorist attacks.
Najib said he had intended to open the summit to talk about an economic community that the 10-nation Association of South East Asian Nations intends to launch in a region of 622 million people with a combined economic output of $2.5 trillion.
"But the events of recent days and weeks have cast a shadow over us all," he said.
He said predominantly Islamic countries such as Malaysia have a duty to expose as lies the "ideology propagated by these extremists that is the cause of this sadistic violence.
Malaysia has announced it is setting up a "counter-terrrorism" messaging centre using social media and other messaging tools.
Malaysian Prime Minister Najib Razak delivers a speech during the opening ceremony of the 27th ASEAN summit in Kuala Lumpur. Photo: EPA
In a veiled swipe at China, which is also attending the meetings in Malaysia, Obama told the ASEAN business executives the United States was working with Southeast Asian allies to preserve maritime security and freedom of navigation.
"The United States is working ... to uphold the freedom of navigation and ensure disputes in the region are resolved peacefully," he said.
Beijing has overlapping claims with Vietnam, the Philippines, Malaysia, Taiwan and Brunei in the South China Sea, through which $5 trillion in ship-borne trade passes every year.
China has been transforming seven reefs in the Spratly archipelago into artificial islands and building three airfields and other facilities on some of them, prompting concern in Washington and the region that China is extending its military reach deep into maritime Southeast Asia.
China has said it does not want the South China Sea issue to be the focus of the meetings in Kuala Lumpur.
Obama said his signature free trade agreement, known as the Trans-Pacific Partnership (TPP), will bind the United States even closer to some of our strongest allies in Asia".
"Our alliances are the foundation for our security which becomes the foundation for our prosperity, which allows us to invest in the source of our strength, including our alliances," he told the ASEAN business executives.
The Asia-Pacific countries in the TPP include Japan, Singapore, Malaysia, Vietnam, Brunei, New Zealand and Australia, all of whom are attending the Malaysia meetings.
After his speech, Obama visited a Kuala Lumpur educational centre for refugees, many of them Rohingyas from Myanmar, to help focus attention, he said, on "an unprecedented number of refugees" across the world.
Speaking of the children he met, he said "that’s the face of not only of children from Myanmar, that’s the face of Syrian children and Iraqi children."
Alluding to Republican critics who are trying to block the flow of Syrian refugees to the United States, he said: "The notion that somehow we would be fearful of them, that the politics would somehow lead us to turn our sights away from their plight" was not in keeping with American values.</t>
  </si>
  <si>
    <t>The South China Sea functions as the throat of the Western Pacific and Indian oceans — the mass of connective economic tissue where global sea routes coalesce.
Here is the heart of Eurasia’s navigable rimland, punctuated by the Malacca, Sunda, Lombok, and Makassar straits. 
More than half of the world’s annual merchant fleet tonnage passes through these choke points, and a third of all maritime traffic worldwide. 
The oil transported through the Malacca Strait from the Indian Ocean, en route to East Asia through the South China Sea, is triple the amount that passes through the Suez Canal and fifteen times the amount that transits the Panama Canal.
south china sea maps csis
Eighty percent of Japanese and 39 percent of Chinese oil imports pass through the Indian Ocean en route from the Middle East. Chinese firms also have billions of dollars of investments in East Africa, concentrated primarily in the oil and gas, railways and roads, and other mining sectors. Asia Maritime Transparency Initiative
Roughly two thirds of South Korea’s energy supplies, nearly 60 percent of Japan’s and Taiwan’s energy supplies, and 80 percent of China’s crude oil imports come through the South China Sea.Whereas in the Persian Gulf only energy is transported, in the South China Sea you have energy, finished goods, and unfinished goods. 
In addition to centrality of location, the South China Sea has proven oil reserves of seven billion barrels, and an estimated 900 trillion cubic feet of natural gas.
If Chinese calculations are correct that the South China Sea will ultimately yield 130 billion barrels of oil (and there is some serious doubt about these estimates), then the South China Sea contains more oil than any area of the globe except Saudi Arabia. Some Chinese observers have called the South China Sea “the second Persian Gulf.”
south china sea csis map
Five different countries control some land features in the Spratly Islands, while just one state controls the Kuril Islands, Liancourt Rocks, Senkaku Islands, and Paracel Islands. Asia Maritime Transparency Initiative
If there really is so much oil in the South China Sea, then China will have partially alleviated its “Ma- lacca dilemma” — its reliance on the narrow and vulnerable Strait of Malacca for so much of its energy needs coming from the Middle East.
And the China National Offshore Oil Corporation has invested $20 billion in the belief that such amounts of oil really do exist in the South China Sea. China is desperate for new energy. Chinese oil reserves account for only 1.1 percent of the world total, while it consumes over 10 percent of world oil production and over 20 percent of all the energy consumed on the planet. 
It is not only location and energy reserves that promise to give the South China Sea critical geostrategic importance, it is the territorial disputes surrounding these waters, home to more than two hundred small islands, rocks, and coral reefs, only about three dozen of which are permanently above water.
disputed islands south china sea csis
The South China Sea is the site of several ongoing 'Exclusive Economic Zone' disputes between neighbors. Asia Maritime Transparency Initiative
Yet these specks of land, buffeted by typhoons, are valuable mainly because of the oil and natural gas that might lie nearby in the intricate, folded layers of rock beneath the sea. Brunei claims a southern reef of the Spratly Islands.
Malaysia claims three islands in the Spratlys. The Philippines claims eight islands in the Spratlys and significant portions of the South China Sea. Vietnam, Taiwan, and China each claims much of the South China Sea, as well as all of the Spratly and Paracel island groups.
south china sea Kennan csis
Hughes Reef, November 15, 2014. Asia Maritime Transparency Initiative
In the middle of 2010 there was quite a stir when China was said to have called the South China Sea a “core interest.” It turns out that Chinese officials never quite said that: no matter. Chinese maps have been consistent. 
Beijing claims to own what it calls its “historic line”: that is, the heart of the entire South China Sea in a grand loop—the “cow’s tongue” as the loop is called—surrounding these island groups from China’s Hainan Island south 1,200 miles to near Singapore and Malaysia.
The result is that all of these littoral states are more or less arrayed against China, and dependent upon the United States for diplomatic and military backing.
south china sea csis cuarteron
Cuarteron Reef, November 15, 2014. Asia Maritime Transparency Initiative
For example, Vietnam and Malaysia are seeking to divide all of the seabed and subsoil resources of the southern part of the South China Sea between mainland Southeast Asia and the Malaysian part of the island of Borneo: this has elicited a furious diplomatic response from China.These conflicting claims are likely to become more acute as energy consumption in developing Asian countries is expected to double by 2030, with China accounting for half of that growth. 
“Paradoxically, if the postmodern age is dominated by globalization,” writes the British naval expert Geoffrey Till, then “everything that supports” globalization, such as trade routes and energy deposits, becomes fraught with competition.
map south china sea trade
China and ASEAN (Southeast Asia), China and Japan, and Japan and ASEAN states have robust trade relations. The China-ASEAN trade relationship is especially strong. Asia Maritime Transparency Initiative
And when it comes to trade routes, 90 percent of all commercial goods that travel from one continent to another do so by sea. This heightened maritime awareness that is a product of globalization comes at a time when a host of relatively new and independent states in Southeast Asia, which only recently have had the wherewithal to flex their muscles at sea, are making territorial claims against each other that in the days of the British Empire were never an issue, because of the supremacy of the Crown globally and its emphasis on free trade and freedom of navigation. 
This muscle flexing takes the form of “routinized” close encounters between warships of different nations at sea, creating an embryonic risk of armed conflict. 
One high-ranking official of a South China Sea littoral state was particularly blunt during an off-the-record conversation I had in 2011, saying, “The Chinese never give justifications for their claims. They have a real Middle Kingdom mentality, and are dead set against taking these disputes to court. China,” this official went on, “denies us our right on our own continental shelf. But we will not be treated like Tibet or Xinjiang.”
This official said that China is as tough with a country like the Philippines as it is with Vietnam, because while the latter is historically and geographically in a state of intense competition with China, the former is just a weak state that can be intimidated. “There are just too many claimants to the waters in the South China Sea.
The complexity of the issues mitigates against an overall solution, so China simply waits until it becomes stronger. Economically, all these countries will come to be dominated by China,” the official continued, unless of course the Chinese economy itself unravels.
Once China’s underground submarine base is completed on Hainan Island, “China will be more able to do what it wants.” Meanwhile, more American naval vessels are visiting the area, “so the disputes are being internationalized.” Because there is no practical political or judicial solution, “we support the status quo.” 
“If that fails, what is Plan B for dealing with China?” I asked.
“Plan B is the U.S. Navy—Pacific Command. But we will publicly remain neutral in any U.S.-China dispute.” To make certain that I got the message, this official said: “An American military presence is needed to countervail China, but we won’t vocalize that.” The withdrawal of even one U.S. aircraft carrier strike group from the Western Pacific is a “game changer.”
us military csis south china sea
US assets and personnel deployed in Hawaii, Alaska, and Guam, are also devoted to the safety and security of the region. Asia Maritime Transparency Initiative
In the interim, the South China Sea has become an armed camp, even as the scramble for reefs is mostly over. China has confiscated twelve geographical features, Taiwan one, the Vietnamese twenty- one, the Malaysians five, and the Philippines nine. In other words, facts have already been created on the ground.
Perhaps there can still be sharing arrangements for the oil and natural gas fields. But here it is unclear what, for instance, countries with contentious claims coupled with especially tense diplomatic relations like Vietnam and China will agree upon.
Take the Spratlys, with significant oil and natural gas deposits, which are claimed in full by China, Taiwan, and Vietnam, and in part by Malaysia, the Philippines, and Brunei. China has built concrete helipads and military structures on seven reefs and shoals.
south china sea cisis mischief reef
Mischief Reef, January 19, 2015. Asia Maritime Transparency Initiative/CSIS
On Mischief Reef, which China occupied under the nose of the Philippine navy in the 1990s, China has constructed a three-story building and five octagonal concrete structures, all for military use.
On Johnson Reef, China put up a structure armed with high-powered machine guns. Taiwan occupies Itu Aba Island, on which it has constructed dozens of buildings for military use, protected by hundreds of troops and twenty coastal guns.
south china se johnson
Johnson South Reef, November 15, 2014. Asia Maritime Transparency Initiative/CSIS
Vietnam occupies twenty-one islands on which it has built runways, piers, barracks, storage tanks, and gun emplacements. Malaysia and the Philippines, as stated, have five and nine sites respectively, occupied by naval detachments.
Anyone who speculates that with globalization, territorial boundaries and fights for territory have lost their meaning should behold the South China Sea.</t>
  </si>
  <si>
    <t>The South China Sea, dotted with small islands, reefs and shoals, is one of the most hotly contested areas in the world.
While unexplored, much of the disputed area around the Spratly Islands and Paracel Islands is believed to be potentially rich in oil and other natural resources. The sea is also a major shipping route through which over US$5 trillion (S$7 trillion) of maritime trade passes each year.
Here's a quick look at the disputes:
Who claims what?
China: It claims almost all of the resource-rich waters in the South China Sea - an area defined by its "nine-dash line" which extends hundreds of kilometres south from China's Hainan Island to waters off the coast of Borneo, taking in some of the world's busiest shipping lanes.
Beijing says its right to the area goes back centuries to when the Paracel and Spratly island chains were regarded as integral parts of the Chinese nation. In 1947, it issued a map detailing its claims. It showed the two island groups falling entirely within its territory.
Taiwan: Its claims are similar to those of China and are based upon the same principles.
Vietnam: It disputes China's historical account and instead says it has actively ruled over both the Paracels and the Spratlys since the 17th Century and has the documents to prove it.
The Philippines: It invokes its geographical proximity to the Spratly islands as the main basis of its claim. Both the Philippines and China lay claim to the Scarborough Shoal - known as Huangyan island in Chinese - a little more than 160km from the Philippines and 800 km from China.
Malaysia: It claims territory in the South China Sea that it says falls within its exclusive economic zones (EEZ), as defined by the United Nations Convention on the Law of the Sea (UNCLOS).
Brunei: The country does not claim any of the islands, but claims part of the South China Sea nearest to it that it says falls within its EEZ.
* Indonesia: It is not a claimant to any of the Spratly islands, but Chinese and Taiwanese claims extend into its EEZ and continental shelf, including Indonesia's Natuna gas field.
What is China's position on the disputes?
For years, China has insisted that disputes with rival claimants be handled bilaterally. Its position is that Asean is not the right forum for talks on the South China Sea disputes, pointing instead to joint working groups and meetings of senior officials from claimant countries as more appropriate platforms. While China and Asean have agreed 13 years ago to establish a Code of Conduct to govern dispute resolution, negotiations have made little headway so far.
What is US' position?
The US government takes no position on the territorial disputes but it has called for an immediate end to land reclamation in the South China Sea. It also sails and flies its assets in the vicinity of China's reclaimed islands, citing international law and freedom of movement. In May 2015, the US flew over China's man-made islands in the Spratlys, triggering repeated warnings from the Chinese navy. In October, it sent a warship, the USS Lassen, to within 12 nautical miles of Subi Reef. Washington has warned Beijing not to "elbow aside" other claimants in the disputes.</t>
  </si>
  <si>
    <t>Four Southeast Asian countries are in a tussle with China over parts of the South China Sea - namely Vietnam, Philippines, Malaysia and Brunei.
The territorial disputes heightened over the past year as China increased its activities by building structures on several contested islands and the United States navy conducted patrol exercises near the disputed waters.
Mr Zhu said the Chinese view on the issue is largely attributed to "domestic nationalism" - a stand that Beijing reiterated often under President Xi Jinping's leadership to ensure its Communist Party's support.
The presence of two superpowers in the region has added pressure to Asean member nations who have been caught in the middle as they try to manage their independence along with their economic growth. Adding to the fray is China's speed of land reclamation in the Spratly Islands and massive monetary investment support in the region. The US has also entrenched itself during President Barack Obama's tenure by leading the 12-nation Trans-Pacific Partnership (TPP) agreement, which includes four Southeast Asian countries, while siding with Vietnam and Philippines in their claims against China over the territorial disputes.
"If (the) US is not in the region, Southeast Asia would have a weak negotiating position. But if the US is too close, we would be pawns on a chessboard," said Mr Yeo.
"Instead of being in control, we lose the game… If we (Asean) maintain solidarity, we would know how to play this game", Mr Yeo added.
Despite being nudged in between two influential nations, Malaysia's international trade and industry minister Mustapa Mohamed said "the bottom line is income, peace, stability and quality of life" which marks the "best policy" for countries.
Discussion also centred upon the various trade agreements that appear to be either US or China-led. But despite the different pacts that Southeast Asian nations are individually a part of, Mr Yeo said the agreements are all akin to different "clubs" that countries join.
"We are already have so many club memberships... The key for Asean is to maintain a high degree of solidarity, whenever there's a new club, it's always open to Asean members".
But unity aside, Mr Yeo said success can only come from each country's internal strengths, not just the economic arrangements.
ltrinna@sph.com.sg</t>
  </si>
  <si>
    <t>Throughout history, the South China Sea has been a key passage of the Maritime Silk Road. The 21st Century Maritime Silk Road, proposed by China in 2013, is no exception. The past 20 years of history show us a basic truth: East Asian cooperation sails far in times of calm in the South China Sea, and stagnates in the shadows of uncertainty in this region.
The South China Sea issue currently is causing a series of negative effects on the “One Belt, One Road” (OBOR). However, these effects have their limits; the negative impacts are short-term, localized, manageable, and will not radically hinder China and ASEAN from building OBOR. On the contrary, OBOR will provide a new momentum for peace in the South China Sea, and will continue promoting peace and stability in the region.
The Maritime Silk Road: From History to Reality
The “Maritime Silk Road”is a sea channel that starts from China’s southeastern ports, passes through the South China Sea and the Strait of Malacca, enters the Indian Ocean, and eventually reaches the Red Sea and the Mediterranean. The route links East Asia with the Middle East, East Africa, and Europe.
The Maritime Silk Road can be dated back to the ancient Chinese Qin and Han Dynasties. During the Han Dynasty, silk and southern Chinese porcelain were transported via this route to the Malay Peninsula and Sri Lanka. Southeast Asian perfume and dyes also reached China through these sea routes. The Maritime Silk Road matured during the Tang Dynasty, especially when, according to historical records, there was emigration and migration between Tang China and Southeast Asia. The Chinese and indigenous people in Southeast Asia jointly gave rise to early development in the region.
During the Song Dynasty, the Maritime Silk Road reached its heyday; Quanzhou and Guangzhou in China became international ports. The famous “Nanhai One” shipwreck is a symbol of the prosperity of the Song Silk Road. The voyages of Zheng He in the Ming Dynasty represented the peak of the Maritime Silk Road and extended the passage to the Indian Ocean and the Red Sea. Ancient China thus interacted with many ancient civilizations, ranging from those in Southeast Asia to East Africa. In addition to the intergovernmental “tribute trade,” there were also frequent civil personnel and cultural exchanges. In the end, a trade circle formed in ancient East and Southeast Asia, in which the South China Sea played a vital role.
In recent centuries, however, Asian countries have gone through a long and struggling process of national independence and state building. The tradition of the Maritime Silk Road has thus been overshadowed by the colonization and warfare brought by Western countries.
But times have changed. Since the 1980s, East Asia has once again become a model of economic growth for the world. Even while enjoying domestic economic growth, East Asian countries were heading toward economic integration as well. East Asia’s most dynamic regional integration organization — the Association of Southeast Asian Nations (ASEAN) — and the largest economy in East Asia — China — formed close trade relations and established a number of economic integration mechanisms including the China-ASEAN Free Trade Area.
As a new development approach for economic cooperation, in October 2013 during his visit to Indonesia, Chinese President Xi Jinping introduced the “21st Century Maritime Silk Road” concept, which (along with the Silk Road Economic Belt) constitutes the OBOR initiative. The 21st Century Maritime Silk Road and the 2014 establishment of the “Mekong-Lancang Mechanism” laid out the basic framework of OBOR between China and ASEAN.
Only two years after the initiation of the 21st Century Maritime Silk Road and Mekong-Lancang Mechanism, related governments have given positive responses. The 2015 “People’s Republic of China and ASEAN on the revision of ‘China-ASEAN Comprehensive Economic Cooperation Framework Agreement’ and Protocols under the Part of the Agreement,” the 2016 “Joint Declaration of Implementation Plan of China-ASEAN Strategic Partnership for Peace and Prosperity,” and the “Joint Statement of Mekong-Lancang Countries Energy Cooperation” are the latest results of China and ASEAN jointly building OBOR.
The South China Sea and the East Asian Regional Economic Integration
While East Asian countries focus on developing their domestic economies and promoting regional economic integration, the specter of security problems loom on the South China Sea. As the most important geopolitical issue in the China-ASEAN relationship, developments in the South China Sea will have a crucial impact on regional economic integration.
From the 1990s to the first decade of the 21st century, the “security dividend” produced by peace and stability in the South China Sea greatly promoted the development of East Asian integration. In the early 1990s, China improved and built diplomatic relations with ASEAN countries; during the late 1990s China also won the trust of ASEAN with the support Beijing gave ASEAN countries during the 1997 financial crisis.
In 2002, China and relevant countries signed the “Declaration on the Conduct of Parties in the South China Sea.” The declaration identified the dispute resolution recognized by all parties, shaped the behavior of the parties, and maintained the stability of the South China Sea to some extent.
Under the premise of political stability in the South China Sea, economic and trade cooperation between China and ASEAN were leading the trend of East Asian integration. In trade, economic ties warm as political ties warm. China and ASEAN have led a double-digit growth rate in exports and imports over a long period. Bilateral trade dependence has gradually increased as well.
Data source: Ministry of Commerce of People's Republic of China
Data from Ministry of Commerce of People’s Republic of China
Data from United Nations Commodity Trade Statistics Database
Data from United Nations Commodity Trade Statistics Database
When it comes to ​​investment flows, China-ASEAN direct investment increased consistently, thanks to the policy and regulation coordination made possible by stable bilateral relations between China and the ASEAN countries.
Data from Ministry of Commerce of People's Republic of China
Data from Ministry of Commerce of People’s Republic of China
In the financial and macroeconomic sectors, as the economic partner who made a major contribution to fighting the Asian financial crisis in Southeast Asia, China long ago won a role in East Asian financial and monetary cooperation. China, Japan, South Korea, and ASEAN established the Chiang Mai Initiative in 2000. The initiative developed cooperation in four areas including detecting the flow of capital, monitoring the regional economy, establishing a bilateral currency swap network, and personnel training. Among those, the bilateral currency swap network is the most important.
After the 2008 global financial crisis, the initiative was further upgraded to the Chiang Mai Initiative Multilateralization Agreement in 2010. The same group of countries also established the ASEAN Plus Three Macroeconomic Research Office (AMRO) in 2011, with Wei Benhua from China as its founding director. The fact that East Asian countries stood in solidarity facing world financial risks was also established on the basis of regional peace and stability.
However, after 2009 the United States’ Asia-Pacific rebalancing strategy brought security issues back into the Asia-Pacific by strengthening the role of the Asia-Pacific in its political, economic, and military discussions. The United States increased forward military deployment in the Asia-Pacific, deepened its Asia-Pacific alliance network, and expanded its involvement in hotspot issues. On the South China Sea issue, the United States chose to take the side of the Philippines in the 2012 Scarborough Shoal (Huangyan Island) incident to promote “internationalization” of South China Sea disputes. The U.S. Navy and Air Force frequently enter the South China Sea declaring “freedom of navigation,” and held military drills with allies. Economically, the United States added the Trans-Pacific Partnership Agreement (TPP) to its Asian pivot strategy and led the negotiations. The agreement officially signed in early 2016 included five East and Southeast Asian countries (Brunei, Japan, Malaysia, Singapore, and Vietnam).
Since 2009, East Asian security issues have been gradually warming up. Security now has a strong tendency to become the main topic of discussion at regional meetings, and has thus created resistance to the East Asian integration process. For example, China-ASEAN total trade dropped from around 40 percent year-on-year growth in 2010 to zero growth in 2015. Although there are many factors behind the decline, the interference of security issues is the most paramount. The re-emergence of security issues and regional system competition caused the economic integration process to suffer negative consequences.
China promoting regional integration created peace and stability in the South China Sea; the United States becoming involved in the security situation in the South China Sea only led to tensions in the region.
Of course, the East Asian integration process did not halt after 2009; it is still overcoming resistance to make some progress. Especially since China put forward OBOR in 2013, China and ASEAN’s integration process has regained momentum. China ASEAN completed an upgrade to their Free Trade Area in November 2015. Negotiations on the Regional Comprehensive Economic Partnership (RCEP) are expected to close this year or next year; the Asian Infrastructure Investment Bank launched by China was established; and China’s OBOR initiative is on the rise.
The Negative Impact of the South China Sea Issue on OBOR
China’s “21st Century Maritime Silk Road” initiative has received positive responses from ASEAN countries and achieved initial results in only three years. However, the rise of the South China Sea issue in recent years has become an obstacle to this process. If the South China Sea issue affects policy communication between China and ASEAN countries, it would likewise interfere with OBOR.
On the bilateral level, the Philippines strengthened security cooperation with the United States while focusing on national elections held this year. Vietnam and its former enemy the United States (which only recently ended its arm embargo on Hanoi) are evidently more interested in security issues than economic issues. In multilateral forums, the South China Sea has become more and more “of ASEAN”—a subject of discussion under the ASEAN mechanism. To some extent, the South China Sea issue has indeed weakened the mutual trust between China and some ASEAN countries in politics and security, especially those that have sovereignty and maritime delimitation disputes with China. It increases the difficulty of policy coordination to advance OBOR for China and relevant countries.
Geographically, OBOR’s development in Southeast Asia is not balanced, a problem that is related to the South China Sea issue. Although the Philippines is a target country for the initiative, it is undeniable that in recent years China has not achieved any policy agreements with the Philippines on intercommunication or interconnection. In contrast, China has advanced cooperation with other Southeast Asian countries, including signing infrastructure cooperation agreements with countries such as Laos, Cambodia, and Thailand. The Mekong-Lancang Mechanism along Laos, Thailand, and Cambodia (none of which are claimants in the South China Sea) welcomes countries to have security and economic cooperation with China. In March 2016 China and countries along the Mekong-Lancang River signed agreements for energy capacity cooperation.
The intensification of the South China Sea issue, coupled with the recent global economic downturn and other factors, might have contributed to the declining growth rate of trade between China and ASEAN. In fact, since June 2015 when the situation began to heat up in the South China Sea, China’s import and exports to ASEAN have dropped sharply. When it comes to direct investment, while the annual amount of China-ASEAN two-way investment has grown, the growth rate has been declining. At the same time, Japan has exceeded China in investment in ASEAN for three consecutive years and also plans to increase the proportion of investment in infrastructure construction.
On a social level, the South China Sea issue may be colored with the “China threat theory” to hinder the implementation of OBOR. Some ASEAN countries have long-standing suspicions toward China and the Chinese people. With perceptions shaped through influential media reports from the West and ASEAN, Chinese behavior in maintaining its sovereignty in the South China Sea is likely to once again provoke nationalism and an anti-Chinese mentality in ASEAN nations. People-to-people communication, an important part of OBOR, may be affected by this trend. This impact of such a mentality is difficult to assess.
More evidence could be found by examining the progress elsewhere on the 21st Century Maritime Silk Road. Looking to South Asia, the construction of Sri Lanka’s Hambantota port, Pakistan’s Gwadar Port, Bangladesh’s Chittagong port, and so on, all of which bypass the South China Sea issue, have achieved much quicker progress. In Southeast Asia, cooperation with Indonesia is advancing relatively rapidly, but occasionally suffers political setbacks. Overall, progress in South Asia is faster than that in Southeast Asia; needless to say, the South China Sea issue has has some impact.
In short, if the South China Sea issue is not handled properly, there will be negative spillover, thereby undermining the basis of regional economic cooperation, and eventually leading to a “lose-lose” situation.
The South China Sea Issue Will Not Radically Hinder OBOR
Although the South China Sea issue may have some negative effects on OBOR, these impacts are limited and manageable, and ultimately will not radically hinder the initiative.
First, the South China Sea dispute is an issue of a temporary nature. Though tensions may seem to rise, the possibility of an armed conflict in the region remains relatively low. The U.S. military and political elites understand perfectly well the risk of military intervention in the political realm, and thus are not willing to spark military conflict with China. In fact, both the military budget and presidential election campaign are affecting U.S. military activities in the region, but the South China Sea should not be an area for Sino-American confrontation. That means tensions are likely to fall again from their current peak.
Moreover, tensions in the South China Sea are manageable. While the temporary nature of the South China Sea issue may not guarantee an ultimate solution to solve the dispute, the issue itself is nevertheless relatively stable in the sense that none of the parties concerned can easily change the structure of the problem. Given this, the concerned parties would either tend to extend the dimensions of the issue by strengthening communication and dialogue to avoid conflict (such as holding think tank dialogues and routine joint exercises), or develop new connections by expanding economic and trade cooperation for mutual benefit, and backing peaceful solutions to the South China Sea issue.
Furthermore, tensions in the South China Sea are localized. Focusing on territorial disputes and geopolitical issues in the South China Sea would only lead to a “zero sum game.” Meanwhile, economic cooperation under the framework of an institutional design of regional integration could best serve the interest of all parties — a “positive sum game.” Nevertheless, if the negative spillover effects of security issues come to undermine the basis of economic and trade cooperation in the region, ASEAN would obviously be the first to be affected. The China-proposed OBOR initiative shows the exactly right solution to all the problems above.
Chinese Foreign Minister Wang Yi considers ASEAN as the priority cooperation partner in the following four areas: the priority area for the construction of OBOR, which includes the construction of the China-Laos railway, China-Thailand railway and Jakarta-Bandung high speed railway in Indonesia.; the priority cooperation partner for free trade agreements, as the both sides have agreed to upgrade the China-ASEAN FTA to boost greater trade and investment ties, while RCEP is being negotiated; the priority partner for regional cooperation, including the Lancang-Mekong sub-regional development; and the priority partner for maritime cooperation, including maritime security cooperation and marine environmental cooperation. All these indicate that cooperation is still the mainstream in the region and provides an alternative approach to ease the tensions.
Based on the analysis above, we have every reason to believe that the South China Sea issue should not and will not radically hinder the progress of OBOR in Southeast Asia. On the contrary, the initiaitve will fundamentally promote peace and stability in the region.
OBOR: New Momentum for Peace and Stability
As stated earlier, the growing tensions in the South China Sea come at a time of economic integration in East Asia and amid the promotion of the China-proposed OBOR initiative, which requires a calm and stable regional environment. In turn, however, the construction of OBOR provides new momentum for peace and stability in the South China Sea.
Although the Philippines has been pushing for the South China Sea issue to become a problem in China-ASEAN relations, we should recognize and respect the fact that the issue itself is not a problem between ASEAN and China. As a result, the so-called international arbitration case initiated by the Philippines against China over the South China Sea would never get full support from ASEAN.
While the South China Sea issue involves individual countries, OBOR is for ASEAN as a whole. The ASEAN member states have benefited greatly from economic and trade exchanges with China; the updated China-ASEAN FTA is proof. The 21st Century Maritime Silk Road, though at an initial stage, is shaping a more diversified FTA, and a more flexible and open win-win vision, where all ASEAN countries can obtain investments that they urgently need, including manufacturing, infrastructure, and financial investments.
China and ASEAN countries should take a long-term perspective on the relationship between regional security and economic development. Therefore, the South China Sea issue should not be more than a short-term drag for all parties. Jointly building OBOR will provide opportunities for long-term economic development in the region.
The OBOR initiative is a regional economic cooperation mechanism with strong compatibility and feasibility. It is more inclusive than the U.S.-dominated TPP; while the latter focuses more on the so-called “standard clauses,” OBOR is able to adapt to changes through policy communication and coordination.
In this regard, it is now high time for China and the United States to hold substantive strategic dialogues. The China-proposed OBOR initiative does not necessarily mean competition or even conflict with the U.S.-dominated TPP. China is willing to cooperate with the United States and ASEAN countries to achieve mutual benefit and win-win results by means of strategic and economic dialogues.
China’s foreign trade is highly dependent on the shipping lanes of the South China Sea, and ASEAN countries are China’s important trade partners. To some extent, then, China is the main victim in the dispute. China should continue promoting the construction of the 21st Century Maritime Silk Road, while carefully handling the relationship between trade and economic policy and the tensions in the South China Sea. Economic and trade cooperation can become the anchor and propeller of China-ASEAN relations, and fundamentally promote long-term peace and stability in the South China Sea.</t>
  </si>
  <si>
    <t>JAKARTA Entering the compound of the Association of Southeast Asian Nations Secretariat in Jakarta is simple. Show up at the gate, flash your identification, and after a quick call to the front desk for clearance, you are in.
Apart from a small souvenir shop and a gallery of ASEAN history, there is not a lot to see inside the headquarters of the 49-year-old organization.
Unlike the imposing and often inaccessible buildings of the European Union in Brussels, ASEAN's low-rise offices sit in the shadow of a partly constructed overhead railway in the southern part of Indonesia's traffic-clogged capital.
Nine months after the group's 10 members established the ASEAN Economic Community, which aims to promote the free movement of goods, services, capital and labor, the headquarters symbolizes both ASEAN's aspirations and its limitations.
The EU was previously known as the European Economic Community, but ASEAN's adoption of the "community" moniker does not mean it will emulate Europe's radical, sovereignty-pooling measures, such as a common currency, central bank and free movement of labor.
"The appetite to surrender sovereignty simply is not there," said Jayant Menon, lead economist at the Asian Development Bank in Manila. "I don't see a single currency coming into play in ASEAN, and I don't see that as a bad thing."
ASEAN was established in 1967 on the back of a Thai attempt to mediate border disputes among Indonesia, Malaysia and the Philippines, but the bloc, now double its original size, with 10 member countries, has long ceased to have much influence over the region's political and security affairs.
While the EU has been criticized for centralizing tendencies that have alienated many European citizens, its member states must be democratic. ASEAN, by contrast, has welcomed autocracies and dictatorships and has been powerless to intervene in the face of human rights abuses. When Thailand's army took power in a 2014 coup, ASEAN kept its collective head down rather than chastise the new regime in the region's second-biggest economy.
Rather, ASEAN's focus is very much economic: "institution-light, outward-looking, and market-driven," as the ADB's Menon noted.
ASEAN member states are mostly small to medium-sized economies, with vast differences in living standards between rich members like Singapore and poor ones such as Laos and Myanmar.
Globally, the bloc's relevance rests largely on how it positions itself alongside Asia's giants. "Placed between the giant markets of China and India, we realized we would have nothing to offer if we [did] not create a single market," said Tang Siew Mun, head of the ASEAN Studies Centre at Singapore's ISEAS-Yusof Ishak Institute.
For many member countries, roads, ports, airports and power stations are urgently needed to fulfill the AEC's promise. HSBC, a multinational bank, estimates that Indonesia needs to spend more than $1 trillion on infrastructure by 2030, while the Philippines should allocate almost $400 billion over the same period.
More developed economies, such as Malaysia, Thailand and Singapore, have less need to spend on upgrading infrastructure. But ASEAN's poorest countries have large gaps to fill. The ADB estimates Myanmar should budget between $10 billion and $15 billion a year on infrastructure and social spending through 2030.
Within the region, business is eyeing infrastructure opportunities. Roongrote Rangsiyopash, president and chief executive of Thailand's Siam Cement Group, said his company will increase investment in the region, including on projects such as a cement plant in Myanmar. ASEAN countries other than Thailand provide 23% of SCG's total corporate sales. "We believe the economies of a majority of the countries in ASEAN are going to grow significantly," as "a lot of countries are in the stage of developing infrastructure," Roongrote said.
Motorcycles and buses clog the streets in the center of Ho Chi Minh City. (Photo by Nozomu Ogawa)
THE CHINA FACTOR HSBC believes the AEC's investment promotion provisions may help governments get funding for infrastructure, but regional lenders such as the ADB also have a big role. Another big financier is likely to be the China-led Asian Infrastructure Investment Bank, which was set up in 2015 to support Beijing's plans to improve transport links with neighboring countries as part of its Belt and Road Initiative. The AIIB, with registered capital of $100 billion, has said it is keen to work on ASEAN's "connectivity" initiatives.
"If Indonesia and Malaysia and the Philippines, for example, want to have regional connectivity projects, then we are supporting them," Luky Eko Wuryanto, AIIB vice president and chief administration officer, told the Nikkei Asian Review.
But the AIIB is struggling to overcome perceptions that it is a strategic tool of its biggest shareholder, China, which is also ASEAN's biggest trade partner. It is seen in the same way as the ADB, which is viewed as a Japanese-influenced lender, and the World Bank, which is seen as a U.S.-dominated institution.
Wuryanto played down such concerns, noting that the AIIB's balance sheet is much smaller than those of Chinese state lenders that have invested overseas. "These are big banks. They are funding many projects overseas by [the] Chinese government."
China's growing influence in Southeast Asia has been overshadowed of late by regional divisions over Beijing's claim to most of the South China Sea. Half of ASEAN's member states -- Brunei, Indonesia, Malaysia, the Philippines and Vietnam -- have overlapping territorial claims in the area. But China's allies in ASEAN, mainly Cambodia and Laos, have steadfastly supported Beijing's line, preventing ASEAN from taking a united position on the issue.
China has refused to accept a recent victory for the Philippines in an international tribunal ruling over Beijing's claims to the sea -- a judgment that ASEAN did not mention in its statement after its annual ministerial forum. Philippine President Rodrigo Duterte also recently said he would not raise the issue at the ASEAN summit on Sept. 6-8 in Laos.
That leaves the bloc looking weak, even fearful, toward China, although member states are trying to put a positive spin on the issue. "We believe the result ... has been very good in the sense that we have seen forward moves from China and the Philippines -- they're willing to begin discussions on this issue," said Arrmanatha Nasir, Indonesia's foreign ministry spokesman.
But as China's military heft grows, Southeast Asian defense spending is on the rise. It has doubled since 2000, according to data compiled by the Stockholm International Peace Research Institute, though ASEAN's GDP has increased by 5% a year on average over the same period.
Countries in the region with active territorial disputes are likely to continue to spend. "We are very weak in our external capabilities to protect our maritime resources. That's why I said a while ago we need to upgrade our naval capabilities," Philippine Defense Minister Delfin Lorenzana told the Nikkei Asian Review in June. The U.S. recently announced it would end its arms embargo on Vietnam amid growing tensions with China, while Hanoi said in August it would place rocket launchers on islands it claims in the South China Sea.
Vietnam became the world's eighth-largest arms importer between 2011 and 2015, according to SIPRI, although its economy is only the 48th-largest in the world.
With no resolution in sight on conflicting claims in the resource-rich, strategically important waters, the dispute will continue "draining ASEAN's energy," said Teuku Rezasyah, a lecturer in international relations at Indonesia's Padjadjaran University.
HOW MUCH INTEGRATION? For the foreseeable future, ASEAN's main focus is likely to stay on expanding the region's economies and boosting economic integration, despite limits on how much sovereignty member states will cede.
"The AEC is supposed to be a single market and single production base already," said Ruth Banomyong, director of the Center for Logistics Research at Bangkok's Thammasat University.
But the reality, he said, is that states retain control over crucial aspects of their economic policy. "Investing across the region is still subject to national imperatives so 'ease of investment' in a particular country has nothing to do with the AEC."
"From a conceptual viewpoint, we're all OK with the AEC," said Ashran Ghazi, CEO of the Malaysian Global Innovation and Creativity Centre, a government initiative. "But the other reforms don't happen automatically."
Some companies are frustrated at delays in the integration process. Piyush Gupta, chief executive at Singapore's DBS Group Holdings, one of Southeast Asia's largest financial institutions, described banking as the region's "most protected industry."
Deeper financial sector liberalization is not due until 2020 as part of the AEC's Banking Integration Framework. "A lot of stuff is happening, but [it is] not moving as fast as it needs to," Gupta said at a recent forum. In 2013, a DBS attempt to take over Bank Danamon was blocked by Indonesian regulators.
But with the AEC in its infancy, even sanguine business leaders are reluctant to talk up the community's near-term impact. "The benefit since the start is still small, but it's more of the impact on the mood. I think if we work together we can flourish," said Tos Chirathivat, chief executive of Thai retailer Central Group, which has been expanding in Southeast Asia, including with some recent acquisitions in Vietnam.
Vietnam Dairy Products (Vinamilk), Vietnam's largest dairy company, meanwhile, is eyeing growing demand for dairy products in Thailand and Myanmar. CEO Mai Kieu Lien said "technical barriers" such as product registration had hindered Vinamilk's regional investments. She expects the AEC will see these barriers lowered, saying, "With the AEC, it is expected that these import requirements and regulations [will be] simplified to create a fairer competitive environment for all players."
With a market of more than 600 million people, a combined gross domestic product of $2.5 trillion, and room for further growth, considering that ASEAN's GDP per capita is a fraction of the average in the Organization for Economic Cooperation and Development, the bloc represents a clear business opportunity -- particularly if the AEC can be fully implemented.
"ASEAN should be the first thing you put in mind now if you are starting a business," said Shinta Witoyo Dhanuwardoyo, who two decades ago founded one of Indonesia's first internet companies.
REGIONAL DEALS For the region's established business leaders, big cross-border deals have long preceded the AEC. Indonesian tycoon Anthoni Salim's Hong Kong-listed First Pacific owns a major stake in PLDT, the Philippines' largest telecom operator. "ASEAN certainly is an important market with us because the ASEAN economic integration is already there," Salim told the Nikkei Asian Review last year.
Jaime Augusto Zobel de Ayala, chairman and chief executive of the Philippines' Ayala Corp., which has invested in water utilities and real estate in Malaysia, Myanmar and Vietnam, said he sees opportunities arising from closer economic cooperation. "People are agreeing on common standards, and I think all tides raise all boats," he said.
Some newer players in the region hope to see investment barriers come down. "We're expecting that regulations will be more aligned, and that there will be single standards for certain industries," said Ridzki Kramadibrata, managing director of Grab Indonesia. Grab is a rapidly growing taxi-hailing service that has operations in six Southeast Asian countries.
Businesses from bigger, more developed economies will likely do well out of the AEC, even those from Indonesia, where the perception lingers that "we cannot compete," according to Sandiaga Uno, vice chairman at the Indonesian Chamber of Commerce and Industry. "Three years ago people were saying you need to get out of this AEC," said Uno, a candidate in Jakarta's upcoming gubernatorial election.
SMALL PLAYERS, BIG MYTHS But for the tens of millions of tiny businesses such as street vendors and roadside shops, which are major employers in countries such as Indonesia and the Philippines, the AEC seems to be little understood.
Tri Mardjoko, manager of the AEC Center at Indonesia's trade ministry, has been meeting small and "micro" enterprise owners as part of his mission to spread the AEC gospel around the Indonesian archipelago. "There are myths and facts. One is that Indonesia ... will be flooded with goods from outside, that the SMEs [small and midsize enterprises] from other countries will appear on every street corner," he said.
Another myth is that ASEAN needs to increase intraregional trade, which is only around half that of the EU. The ADB estimates that around 70% of intra-ASEAN trade is in components, which already reflects the region's involvement in the globalized supply-chain system.
"ASEAN integration is a means to an end, which is to make the most of broader globalization," said the ADB's Menon. "The important thing is not whether intra-ASEAN trade has grown, but whether ASEAN's trade as a whole has grown, which it has."
While there are no concrete statistics yet to show whether the advent of the AEC has affected intraregional trade, there are indicators that it has made a difference, at least in the region's biggest economy, Indonesia.
"The utilization of COO [certificates of origin] for exports [within ASEAN] has increased 70% in seven months," said Tri Mardjoko.
Many economists believe ASEAN can help member states grow by enabling them to take advantage of free trade deals with China and also new and wider proposed arrangements, such as the U.S.-led Trans-Pacific Partnership and the China-backed Regional Comprehensive Economic Partnership.
"If RCEP is realized, ASEAN will draw more attention as an investment target," said Somkid Jatusripitak, Thailand's deputy prime minister, at a Nikkei forum in Bangkok on July 7. Similarly, Pham Binh Minh, Vietnam's deputy prime minister and foreign minister, said that "engagement in the bloc has enabled Vietnam to break barriers and take steps toward regional and international integration."
In turn, businesses see ASEAN not just as a means to just grow in neighboring countries, but as a platform for such international integration. "We also put our expectations in other pacts, such as TPP, in order to bring Vietnamese products to many other markets, taking advantage of the freedom of the market and new opportunities for investment," said Nguyen Duy, managing director of Vietnam's Kova Trading, a subsidiary of Kova Paint Group, a major paint manufacturer.</t>
  </si>
  <si>
    <t>After announcing an integration, of sorts, as one "Community" in 2015, the Association of Southeast Asian Nations is preparing to mark its 50th anniversary in 2017. This involves assessing accomplishments and reviewing plans for the next set of goals by 2025. How -- and by whom -- this loose plan is directed, and the nature of the group's institutions and processes, are critical to realizing these goals. The ASEAN Community Vision 2025 implicitly acknowledges the need to get such details right.
ASEAN today has a far more evolved and multilayered regional architecture than in its earlier years. The ultimate decision-makers are still the 10 heads of state or government. But more bottom-up input is finding its way into regional decisions and agreements through venues opened up by the ASEAN Charter, which took effect in December 2008. ASEAN's institutional capacity has been boosted with a larger role for the annual rotational ASEAN chair. Its Committee of Permanent Representatives works with the ASEAN secretary-general and the ASEAN Secretariat to coordinate the conduct of external relations and implementation of ASEAN decisions. Analysts have noted that enforcing the formal authority of ASEAN institutions requires stronger operational support than exists at present. Acknowledging the relative weakness of their "nerve center," ASEAN leaders committed in 2014 to strengthening the ASEAN Secretariat -- not least by boosting salaries and benefits. The move added just $2 million to the Secretariat's operational budget, bringing it to a modest $19 million in 2015 from $17 million the year before. ASEAN members contribute equally to this budget.
Even so, the challenge continues for more nimble responses to emergencies. ASEAN is not a supranational entity -- the 10 member countries operate on the basis of consensus and noninterference. The end result is often a compromise. This may still be the "better than nothing" option for ASEAN in the face of existing realities in Southeast Asia, including the shifting strategic dynamics that surround it.
ASEAN as a political community came into being in 1967 with a commitment by its five founding member states to the group's principles emphasizing sovereignty, equality, territorial integrity, freedom from external interventions, and noninterference in each other's internal affairs. Regional security is the logical extension of ASEAN's founding imperatives. Economic survival drives the push for a seamless regional market. The challenge of making ASEAN relevant to its people looms ever larger, as does the imperative of internalizing this relevance nationally, regionally and in interactions with major powers and key partners in various ASEAN-led regional processes.
Rivalries in the South China Sea continue to occupy ASEAN's attention in all aspects of political and security cooperation, even amid the rising concerns over terrorism and the role of the Islamic State group. Among other pressing issues, the risk of vulnerability to a widening array of transnational crimes ranks high for regional security discussions. Overall, ASEAN's ability to manage and mediate South China Sea tensions continues to be a dominant concern, as the dynamics of bilateral and regional interests have affected ASEAN's unity of purpose and its much-vaunted central role in forging a collective regional position on key issues. ASEAN's time-honored modus operandi of consultation and consensus has found new nuances as member states confront hard choices between domestic and regional priorities.
Economic imperatives
Domestic support for regional commitments is vital for the next phase of the ASEAN Economic Community. Customs procedures are to be streamlined regionwide through the ASEAN Single Window, which will link national customs and trade regimes. Only seven ASEAN members (Brunei, Indonesia, Malaysia, the Philippines, Singapore, Thailand and Vietnam) are ASW-ready. An effective regional policy -- essentially national in application -- will take some time. Newer members have until 2018 to meet their AEC commitments, and some of the original members are seeking similar extensions. ASEAN states have also sought more flexibility to achieve services liberalization, extending the deadline for the financial sector to 2020. Transport and logistics costs between and within ASEAN countries are still high, hampering aspirations for smooth trade facilitation. Raising ASEAN's competitiveness thus relies heavily on infrastructure and institutional capabilities.
These are all crucial components to the group's aim to improve connectivity both within the region and to the global supply chain if ASEAN is to add value to its free trade agreements with China, India, Japan, South Korea, Australia and New Zealand. Yet the private sector in ASEAN countries, especially the numerous small and midsize enterprises, still needs to engage more deeply in regional processes.
Meanwhile there are questions about ASEAN's regional moves and any associated benefits for its 630 million people. Regional goals for human development and security, environmental sustainability and a shared sense of community need to resonate with national priorities and local needs. ASEAN cooperation can assist social transformations, particularly in the transition economies, but to do so also requires people in various ASEAN member states to view regional cooperation alongside the realities of daily life.
More communication between policy, research and business can help bridge the challenges of implementation and coordinating delivery, boost the caliber of awareness and discussion about ASEAN, give proper context to sensitive topics and reach out to the bloc's wider populace. Improved information and coordination can only result in reduced barriers for business, leisure and education within the region.
Nevertheless, ASEAN has come far from its inception amid Cold War rivalries and is now engaging a diverse set of Southeast Asian nations around shared aspirations. That alone should provide both inspiration and an impetus toward the next milestone.</t>
  </si>
  <si>
    <t>SINGAPORE To be a global hub, a country must be as diplomatically neutral as possible. That is easier said than done, however, especially when the country in question is a small one caught between the two superpowers of the East and West.
Singapore is in the unenviable position of trying to anticipate the next moves of two unpredictable leaders -- U.S. President Donald Trump and his Chinese counterpart Xi Jinping -- while also striking a delicate balance in its position within the international community.
Singapore's tough position was plainly evident at the Belt and Road Forum, held in Beijing in mid-May to drum up support for China's Belt and Road Initiative for infrastructure building. The meeting drew some 1,500 representatives from some 130 countries, among them the leaders of Malaysia, the Philippines, Indonesia and Myanmar.
Missing from the group photo was Singaporean Prime Minister Lee Hsien Loong, who was not invited to the forum. According to media reports, Singapore asked China for an invitation, but Xi flatly rejected the request.
Among the members of the Association of Southeast Asian Nations, Singapore has been one of the most vocal in criticizing China's aggressive actions in the South China Sea. If the area were to fall under Chinese military control, it would strike at the heart of Singapore's very existence. The city-state owes its prosperity to its status as a trade and investment hub, and has been a staunch supporter of the Trans-Pacific Partnership trade pact, championed by the U.S. administration of President Barack Obama but abandoned under Trump. For Singapore, maintaining free trade in the region based on shared, transparent trade rules is a matter of life and death.
China, for its part, sees Singapore as a nuisance, a country that has the temerity to oppose Beijing despite its own small size and largely ethnic Chinese population. Singapore, meanwhile, has long counted on the U.S. for support, but that confidence has been badly shaken since Trump, an advocate of protectionist trade policies, took office.
DIRE CONSEQUENCES Perhaps fearful of dire consequences for his country, former Singaporean Prime Minister Goh Chok Tong changed tack and praised the Belt and Road Initiative in his speech in Japan in early June.
"Is the Belt and Road another hub-spokes strategy?" he asked. In other words, is China actually aiming to build a global economic and security order to serve its own ends? He answered his own question: "Chinese leaders have made it clear that is not their intention."
The Belt and Road Initiative is a grand plan to connect China to Europe through land and sea routes, with a focus on infrastructure development in areas along those routes. It is supported financially by the Silk Road Fund, which China set up and injected with $40 billion, and by the China-led Asian Infrastructure Investment Bank.
The initiative also serves as a trade and industry policy with the aim of stimulating external demand to sop up China's excess production of cement, steel and other materials. It is natural that China's military presence will grow if it can build and maintain influence over ports in key areas.
In other words, the Belt and Road Initiative is China's bold attempt to create an economic and security order throughout Asia.
But in his speech, Goh Chok Tong purposely turned a blind eye to this. He was probably not trying to please China per se but merely hoping to head off a confrontation with Beijing.
Observers say Singapore also wants to avoid being left out of the business opportunities the Belt and Road Initiative will likely provide, particularly for companies in the infrastructure, finance and telecommunication fields. China is already an indispensable economic partner for Singapore, accepting far more of the city-state's exports and foreign direct investment than any other market.
A senior EU diplomat based in Tokyo who was in the audience for the speech said, "Singapore is struggling to maintain its balance as it is pulled back and forth."
Economic considerations were apparently also the reason Singapore refrained from criticizing China over the South China Sea issue during the ASEAN foreign ministerial meeting held in Manila in early August.
After the meeting, Chinese Foreign Minister Wang Yi said, "We commend Singapore for playing a positive and constructive role in advancing China-ASEAN relations."
The remark was taken as praise for Singapore for remaining silent over the delicate issue.
Singapore's struggle to keep its distance, however, took on another dimension just two months later.
In a sudden announcement on Aug. 4, the Ministry of Home Affairs said it had stripped 60-year-old academic Huang Jing and his wife of permanent resident status and barred them from re-entering Singapore permanently on the grounds that he was an agent of a foreign country.
Huang, a professor with the Lee Kuan Yew School of Public Policy at the National University of Singapore and a renowned scholar of international politics, was born in China but holds U.S. citizenship.
According to the Home Affairs Ministry, "Huang used his senior position in the LKYSPP to deliberately and covertly advance the agenda of a foreign country at Singapore's expense." The ministry did not disclose which country it suspects Huang of serving, but he is known for siding with China in its disputes over the South China Sea. Huang also served as a senior overseas economic analyst for China's state-run Xinhua News Agency.
It is not clear what if any specific action of Huang's the government objected to, and the professor maintains his innocence.
STANDING UP While the deportation decision came as a surprise, a furor stirred up by influential former diplomat Kishore Mahbubani, now dean of the Lee Kuan Yew School of Public Policy, may help explain the sudden move. Mahbubani, believed to be a close confidant and supporter of Huang, wrote an article for The Strait Times newspaper in July saying, "Small states must always behave like small states." Singapore, he explained, should learn a lesson from the recent incident of Arab countries cutting off diplomatic relationships with Qatar.
The article sparked an immediate backlash within Singapore's diplomatic community. Bilahari Kausikan, an ambassador-at-large, was particularly harsh in his criticism, calling Mahbubani "muddled, mendacious and indeed dangerous" in a Facebook posting. Lee Kuan Yew, Singapore's founding father, "stood up to China when he had to," Kausikan said, arguing that small countries should not follow big ones blindly. Mahbubani's article did not directly mention the South China Sea disputes, but it was widely interpreted as implying that Singapore should remain quiet about the issue.
When Huang's deportation was announced, debate over the article had yet to die down. Whatever the facts behind the incident, it seems certain that many key figures in the Lee administration believe Singapore should not be intimidated by China. By ousting Huang, Singapore aimed to convey that very message to Beijing and restore what it feels to be a safe diplomatic distance, observers said.
"There is no doubt that the move was aimed at keeping China in check, as it is becoming increasingly aggressive toward Singapore," an Asian diplomat stationed in Singapore said.
Singapore has a role to play in charting the region's path forward. This responsibility will only grow when Singapore assumes the chairmanship of ASEAN in 2018. The city-state will continue to be a valuable member of the international community as long as it sticks to its principles of free trade and diplomatic neutrality. With China and the U.S. acting increasingly in their own interests, it is up to countries like Singapore to remain clear-headed and speak truth to superpower.</t>
  </si>
  <si>
    <t>JAKARTA The world's seaborne trade exceeded 10 billion tons in a single year for the first time in 2015, according to the United Nations Conference on Trade and Development, with about 60% passing through Asia.
Situated between the Indian and Pacific oceans, Southeast Asia's sprawling archipelagos should be well placed to capitalize as trade expands. Indonesia and the Philippines comprise about 17,000 and 7,500 islands respectively, while Indonesia, home to the world's fourth-biggest population -- about 260 million people -- has the second-longest coastline after Canada.
However, the bulk of this seaborne trade is moving between Europe and Asia's powerhouse economies in China and Japan, mainly through the South China Sea and the Strait of Malacca.
"The largest archipelagic countries in the world are not being optimized," said Fauziah Zen, an economist with the Economic Research Institute for ASEAN and East Asia, at the recent launch of a report on Southeast Asia's maritime infrastructure published by The Habibie Center, a Jakarta-based research organization.
Southeast Asia's total trade rose by nearly 50% between 2004 and 2014, but the combined container port throughput of Indonesia and the Philippines was around a third less than throughput in Malaysia, and less than half the level in Singapore, according to the report.
In Southeast Asia, only Singapore -- listed by the World Economic Forum as having the world's second-best port infrastructure -- and to a lesser extent Malaysia's Port Klang, attract enough business to place them among the world's top-ranked ports.
Singapore is the world's second-busiest port according to the World Shipping Council, with Malaysia's Port Klang ranking 12th. Six of the world's 10 busiest ports are in China, (seven, if self-governing Hong Kong is included), while South Korea's Busan is listed sixth. The highest-ranked Indonesian port was Tanjung Priok in Jakarta at 27th, with Manila the top Philippine port at 35th place.
Initiatives such as China's ambitious "Belt and Road" scheme to build or fund infrastructure upgrades in countries as far afield as those in Eastern Europe could prompt improvements to ports around Southeast Asia, but observers see most of the region as unable for now to make the most of the region's sea trade potential. Zamroni Salim, co-author of The Habibie Center report, said that ports in countries like Cambodia, Myanmar, even Indonesia, "all lag behind, compared to Singapore."
The 2016 World Bank Logistics Performance Index, based on a worldwide survey of 1,200 global freight forwarders and express carriers, ranks Singapore 5th out of 160 countries. Elsewhere in the Asia-Pacific region, Hong Kong came in 9th place, with Japan 12th, Australia 19th, South Korea 24th and China at 27th place.
Apart from Singapore, other Southeast Asian countries fared relatively poorly, with Malaysia 32nd and Thailand, Southeast Asia's second biggest economy, ranked 45th. The region's two major archipelagic countries were well down the rankings, with Indonesia 63rd and the Philippines 71st.
TRIUMPH AT SEA? While Southeast Asia's ports and related logistics lag behind, linking infrastructure such as road or rail links to facilitate onward transportation of goods is often not up to scratch either, further diminishing the region's maritime trade potential.
"Supply logistics are needed," said Zen, adding that planned new railways on the Indonesian island of Java -- backed by Japanese and Chinese investment -- as well as roads under construction such as the Trans-Sumatra Highway, could help better "integrate the port system into the national supply chain."
Zen cited distances between ports across Indonesia, which stretches around 4,800km from Aceh in the west to Papua in the east, as a factor in the country's laggardly transport performance. Another hurdle, she said, is that most of Indonesia's population and economic activity are concentrated in the west of the archipelago on Java and Sumatra, meaning that ships trading between east and west often sail empty for one leg of a round trip.
To offset the impact of these distances, Indonesia and the Philippines are aiming to develop port and seaborne trade links between the eastern islands of Indonesia and the Philippines, particularly Mindanao, a southern Philippine island that is much closer to eastern Indonesia than are Java or Sumatra.
Jakarta's busy Tanjung Priok port (Photo by Simon Roughneen)
Indonesia hopes to position itself as a leading maritime trading country, with President Joko Widodo invoking the slogan "jalesveva jayamahe" (in the sea we triumph) during his inauguration speech in 2014. To back up its grand maritime plans, the Indonesian government hopes to implement more than $400 billion worth of infrastructure improvements in roads, rail, power plants, airports and ports by the time of the next national elections in 2019.
Jakarta hopes to attract significant foreign funding for these projects through a mix of joint ventures and public private partnerships, with upgrades to the country's 161 ports, including Tanjung Priok and Belawan in North Sumatra, which sits on the Strait of Malacca. "We welcome foreign companies to join port management in Indonesia," said Liana Trisnawati, secretary general of the Port Corporation Association Indonesia.
Most Southeast Asian countries have big plans to improve infrastructure over the coming years -- upgrades that the Asian Development Bank, a Manila-based lender, estimates could cost $3.1 trillion through to 2030 -- if plans are realized across the region.
New and improved roads, railways, ports, airports and more are necessary if Southeast Asian's economies are to remain competitive. According to a June report by HSBC, a U.K. bank, "transport infrastructure has been neglected by most [Association of Southeast Asian Nations] countries, which have preferred to focus on power and telecom in the last 10 years. As a result, competitiveness has suffered."
However, with Singapore planning a mammoth new port terminal at Tuas in the southwest of the city-state, and Malaysia lining up a major extension of Port Klang, Indonesia and the Philippines will have to invest heavily if they are to catch up with their wealthier neighbors' maritime infrastructure.
The Philippines under President Rodrigo Duterte aims to spend $144 billion on infrastructure -- hoping to attract Chinese investment as part of a trade-off under which Manila has eased previously strident criticism of Beijing's claims to most of the South China Sea.
"As a result of under-investment in the last couple of decades and bureaucratic obstacles, the Philippines has the ASEAN-5's worst infrastructure," the HSBC report noted, referring to Indonesia, Malaysia, the Philippines, Singapore and Thailand, ASEAN's five longest-standing members.</t>
  </si>
  <si>
    <t>MANILA -- The Association of Southeast Asian Nations finds its ability to set a safe course between the world's colliding powers -- an approach to diplomacy that served it well for much of its first 50 years -- threatened by the changing dynamics of American and Chinese influence in the region.
Under President Donald Trump, the U.S. is becoming increasingly inward-looking. At the same time, China, led by President Xi Jinping, continues to work toward expanding its sphere of influence. This development has weakened cohesion among the ASEAN members and raised concern about the bloc's future.
New reality
The Trans-Pacific Partnership trade agreement formed a key part of former President Barack Obama's "pivot to Asia" policy. Trump's decision to withdraw from the pact soon after he took office sent a clear signal about where the new U.S. president's focus lies.
Trump indicated America's continued involvement in Asia in a speech in Vietnam on Friday, but his "America first" bias is unmistakable. Whereas Obama championed a multilateral framework for trade and investment, Trump is pressing Vietnam, which has the biggest trade surplus with the U.S. of any ASEAN member, for a bilateral trade deal.
ASEAN members hope the U.S. will continue to play the role of counterbalance against China's growing influence in the region, but they are unsure if America under Trump will have their back on such issues as territorial disputes with Beijing in the South China Sea.
While visiting Washington earlier this month, Mie Oba, a professor at Tokyo University of Science, heard talk that the Trump administration lacked a clear ASEAN strategy and was still studying the issues affecting the bloc.
China has made the most of this vacuum and eagerly pursued the goal of expanding its power sphere in the region, using its Belt and Road Initiative and the China-led Asian Infrastructure Investment Bank as tools.
Losing balance
ASEAN was launched in 1967 by five countries as an alliance against communism. The U.S., which was engaged in the Vietnam War at the time, provided economic and military assistance to the member states.
After the Cold War ended, ASEAN adopted the pursuit of economic development through free trade as its common goal and attracted investment from Japan and other developed economies. The "ASEAN way" of diplomacy, which played major powers seeking to tap the region's growth potential against each other for better deals, has helped the bloc quadruple the size of its economy over the past two decades.
From its beginning, ASEAN has aspired to create an independent region that can shut out the quarrels of the big powers. But the bloc faced the reality that it cannot exist in a geopolitical vacuum when China began building military footholds in the South China Sea.
For years, ASEAN decision-making has been based on a principle of unanimous consensus. Once Cambodia and other members that are close to China began siding with Beijing on some issues, the unity was shaken, and the bloc became paralyzed.
Soul searching
Even with all their military and economic strength combined, the ASEAN members cannot hold their own against China. Trump's ascent came at the worst time, since it spelled the end of the U.S. "pivot" to Asia under Obama.
While the U.S. continues to sail warships in "freedom of navigation" operations near Chinese installations in the South China Sea, this has not stopped Beijing from advancing its effective control over the waters. ASEAN has been unable to resolve the issue with its balanced diplomacy, since it would require the U.S. serving as a strong counterbalance.
Philippine President Rodrigo Duterte said Sunday night that the South China Sea dispute "is better left untouched," despite the fact that his own country is on the receiving end of China's encroachment. As China continues to boost its influence by leveraging its economic power, ASEAN will be forced to reexamine the reason for its existence as it begins its second half-century.</t>
  </si>
  <si>
    <t>MANILA - Amid the rise of protectionism around the world, leaders of South-east Asia's nations and their three key partners in East Asian urged one another to stay the course and press on with economic and regional integration.
They were speaking at the 20th Asean Plus Three Commemorative Summit, a forum comprising the 10 Asean nations and China, Japan and South Korea.
Each leader had a variation on a vision of an East Asian Community, or a East Asian Economic Community, but all had a common theme of working together.
Chinese Premier Li Keqiang said in opening remarks: "I hope we through this summit we can build a consensus and send a positive signal that regional integration and advancing the East Asia economic community serves to benefit the people and the countries in the region."
South Korean President Moon Jae In too called for a regional community, saying: "Let us create a vision for the East Asian Community of peace, prosperity and progress that has overcome the complex challenges including protectionist and self-centered approaches to globalisation, ageing and climate change."
Japanese Prime Minister Shinzo Abe called for financial cooperation to strengthen the region's economies, saying: "In the midst of concerns about the rise of protectionism and inward-looking orientation in the world, in order to enhance predictability of the economies of the region, to mitigate vulnerabilities, and to maintain and strengthen the free trade system, the significance of financial cooperation between the Asean Plus Three becomes increasingly greater."
Prime Minister Lee Hsien Loong, addressing fellow leaders at the session, echoed the call for greater financial and economic integration.
He said that as Asean's chairman in 2018, Singapore will do its best to further deepen the grouping's growing ties with all three countries and work towards achieving its long term goal of building an East Asian Community.
He pointed to the potential synergy between Asean's master plan to improve connectivity in its member states, and the East Asian countries' own programmes like China's Belt and Road initiative, Japan's Expanded Partnership for Quality Infrastructure and South Korea's Asean Connectivity Forum.
"I'm glad to see that our region is pressing on with economic integration despite sentiments against globalisation," he said.
He also said it was important to step up efforts to conclude a high-quality and comprehensive Regional Comprehensive Economic Partnership (RCEP) - a 16-nation free trade deal all Asean Plus Three members as well as India, Australia and New Zealand are negotiating.
"This will bring tangible benefits to our businesses and citizens, and show the world that East Asia is confident of our economic future," PM Lee said.
Working together on cruise tourism, digital economy
In his remarks, PM Lee also said cruise tourism is one sector that had the potential to grow.
Tourist flows across East Asia have risen rapidly, he said.
Together, citizens of China, Japan and South Korea made up more than a quarter of tourists who arrived in Asean in 2015, up from just over a fifth a year earlier.
Digital innovations are another area in which countries can work together to take advantage of new technologies, PM Lee added.
China, Japan and South Korea are already world leaders in e-commerce and smart cities, and Asean's digital economy is projected to grow five times to around US$200 billion by 2025.
As Asean chair in 2018, Singapore hopes to build up e-commerce frameworks, cyber capabilities, and create an Asean network of smart cities, said PM Lee.
Regional security key to prosperity
But for all this to happen, South-east Asia and East Asia must continue to work together to maintain regional peace and stability, said PM Lee.
"Regional security is the cornerstone of our growth and development," he said, adding that North Korea's recent provocations pose a severe threat to regional peace, security and stability.
"Any miscalculation can have devastating consequences," he said.
A combination of pressure and dialogue among all stakeholders is needed for progress on this delicate situation, he added.</t>
  </si>
  <si>
    <t>SINGAPORE (AFP) - A Chinese general on Saturday (June 2) lashed out at "irresponsible comments" on Beijing's military build-up in the South China Sea after the US defence chief accused China of intimidation and coercion in the disputed waters.
"Any irresponsible comments from other countries cannot be accepted," Lieutenant General He Lei said at the Shangri-La Dialogue in Singapore.
It came just hours after US Defence Secretary James Mattis told the security summit that China's military build-up and deployment of weapon systems in the contested sea was aimed at intimidating its neighbours.
Beijing has deployed a range of military hardware including anti-ship missiles, surface-to-air missiles and electronic jammers across the South China Sea, where it has built islets and other maritime features into hardened military facilities.
China has also landed heavy bombers on Woody Island in the Paracel Islands.
The Chinese general, however, said Beijing's actions were aimed at "national defence".
"They are for the purpose of avoiding being invaded by others... As long as it is on your own territory you can deploy the army and you can deploy weapons," he said.
China claims most of the resource-rich sea, through which US$5 trillion (S$6/7 trillion) in shipping trade passes annually, with competing claims from Brunei, Malaysia, the Philippines, Taiwan and Vietnam.</t>
  </si>
  <si>
    <t>SINGAPORE - Asean will continue to maintain its centrality, and will not be put in a position to pick among the world powers, said Defence Minister Ng Eng Hen at the end of the Shangri-La Dialogue, during which the Indo-Pacific emerged as a buzzword.
The term - which has gained a new lease of life under the Trump administration, and places India front and centre compared to the "Asia-Pacific vision" - has drawn flak from Chinese scholars, who accuse it as a US strategy to constrain China's rise.
"I don't think a re-labelling of regions can affect the security positions of countries. It's not so simple," Dr Ng told reporters in a wrap-up interview on Sunday. "As I said, Asia will remain Asia, the South China Sea will be South China Sea, the Straits of Malacca will continue to be there, and daily activity will continue."
Asean will remain as is, but will have to adjust, he added, noting how countries at the Shangri-La Dialogue this week vowed to "send more ships and planes to this region".
"Asean will continue to work for multilateral frameworks. Asean will continue not to be one to be put in a position to choose between great powers, whether US, China or India," he said. "Asean will want to continue to maintain its centrality. Asean will still want consensus to be able to work with individual countries whether for trade or security."
While the conference saw defence chiefs tussle over the past few days with hefty topics including the South China Sea dispute and the humanitarian crisis in Myanmar's Rakhine state, an air of hope was in the air as it came to a close with an unprecedented meeting between the US and North Korea on the horizon.
"A historic moment is coming on," said Dr Ng, adding that he felt that this year's conference had been particularly impactful.
In his wide-ranging interview, he said that China - with its military might and economic heft - is critical to improving the security of the Asia-Pacific region.
"All important is the relationship between China and the US. They need to find common understanding," said Dr Ng.
Pointing out that differences between the two had been laid out in the open during the conference, he added: "I don't think there's anything else that needs to be said about what the disagreements are. Everyone is clear about (them). Then the question is, having aired all these disagreements, how do we proceed forward, whether its a Code of Conduct (COC), whether it's in trade, whether it's in joint action."
Asked about talks between Asean and China on the COC, Dr Ng said there has been progress, adding, "this is very much in the hands of diplomats". Concerns of both claimant states and user states should also be address, he added.
Dr Ng also touched on patrols in the Sulu Sea, noting that Singapore has from the outset encouraged Malaysia, the Philippines and Indonesia to start this.
"Because we saw that as a need. And we started from the premise that what affects Asean - when it comes to terrorists and transboundary threat - will affect us. We'll have to help them, otherwise our own safety is at risk," he said, adding that Singapore would be happy to participate if needed, and has offered its Information Fusion Centre for information-sharing.
Dr Ng also fondly recounted his first official meeting this week with Malaysia's newly-minted defence minister Mohamad Sabu, noting with a chuckle that their discussion had also involved talk about Singapore's best fish briyani.
"That reflects the warmth among Singaporeans and Malaysians in general," he said.
Dr Ng said he was assured that Malaysia understood how crucial the Five Power Defence Arrangements are for the security of Malaysia and Singapore. And Malaysia, now steered by a new government, wants to maintain if not improve defence ties.
He has invited Mr Mohamad to visit Singapore Armed Forces units here, and has also been invited to Malaysia.
"So it was a very good start, very warm start, and I think we'll get along," said Dr Ng.
New premier Mahathir Mohamad had said last week that Malaysia plans to further develop Middle Rocks, which the International Court of Justice has ruled as belonging to Malaysia.
Dr Ng told reporters: "It's completely legitimate. As long as it complies with internationall law, both sides or all countries have a right to what they develop, to take what is necessary for their own needs."
"And I think it's legitimate. And for them, they feel they need to develop it. I think it's good they have said so publicly, so we all understand each others' positions. Just as Singapore will want to develop various aspects as we've done, in terms of our islands, for domestic or civilian or security."</t>
  </si>
  <si>
    <t>SINGAPORE -- Even by his outspoken standards, Philippine President Rodrigo Duterte’s account of a conversation he had with his Chinese counterpart, Xi Jinping, was startling.
During a meeting between the two leaders in Beijing in May 2017, the subject turned to whether the Philippines would seek to drill for oil in a part of the South China Sea claimed by both countries. Duterte said he was given a blunt warning by China’s president.
“[Xi’s] response to me [was], ‘We’re friends, we don’t want to quarrel with you, we want to maintain the presence of warm relationship, but if you force the issue, we’ll go to war,” Duterte recounted.
A year later, Duterte was asked for a response to news that China had landed long-range bombers on one of the South China Sea's Paracel Islands -- a milestone that suggests the People's Liberation Army Air Force can easily make the short hop to most of Southeast Asia from its new airstrips. “What’s the point of questioning whether the planes there land or not?” Duterte responded.
His refusal to condemn China’s military buildup underlines China's success in subduing its rivals in the South China Sea. Since 2013 China has expanded artificial islands and reefs in the sea and subsequently installed a network of runways, missile launchers, barracks and communications facilities.
These military advances have led many to wonder if Beijing has already established unassailable control over the disputed waters. Brunei, Malaysia, the Philippines, Taiwan and Vietnam also have overlapping claims to parts of the South China Sea and its islands – claims that are looking increasingly forlorn in the wake of China’s military buildup.
“What China is winning is de facto control of nearly the entire South China Sea, including all activities and resources in it, despite the other surrounding Southeast Asian states' respective legal rights and entitlements under international law,” said Jay Batongbacal, director of the University of the Philippines Institute for Maritime Affairs and Law of the Sea.
At stake is the huge commercial and military leverage that comes with controlling one of the world’s most important shipping lanes, through which up to $5 trillion worth of trade passes each year.
U.S. Secretary of Defense James Mattis insists that China faces “consequences” for the “militarization” of South China Sea, which he says is being done for “the purposes of intimidation and coercion.”
“There are consequences that will continue to come home to roost, so to speak, with China, if they do not find the way to work more collaboratively with all of the nations,” Mattis said on June 2 at the Shangri-La Dialogue in Singapore, a security conference organized by the London-based International Institute for Strategic Studies.
Mac Thornberry, chairman of the U.S. House Armed Services Committee, added that the U.S. naval presence means China does not have a free hand in the South China Sea.
“I think you will see more and more nations working together to affirm freedom of navigation through the South China Sea and other international waters,” Thornberry told the Nikkei Asian Review.
But what those consequences might be was left unsaid by Mattis, who suggested that there was little prospect of forcing China to give up its growing network of military facilities dotting the sea.
“We all know nobody is ready to invade," he said.
U.S. Defense Secretary James Mattis talked up the "Indo-Pacific" strategy in his June 2 speech at the Shangri-La Dialogue in Singapore. (Photo by Simon Roughneen)
Gregory Poling, director of the Asia Maritime Transparency Initiative at the U.S.-based Center for Strategic and International Studies, said, “There is no reasonable basis for the U.S. to use military force to push China off its outposts, nor would any country in the region support such an effort.”
The U.S. pushback so far has included disinviting China from a major Pacific naval exercise. It also continues to carry out so-called freedom of navigation operations, or FONOPs, the most recent of which took place on May 27. This was followed by U.S. military aircraft flying over the Paracel Islands in early June, a move that prompted a countercharge of “militarization'” against the U.S. by China's Foreign Ministry.
China regards the FONOPs as sabre-rattling and “a challenge to [our] sovereignty,” according to Lt. Gen. He Lei, Beijing's lead representative at the Singapore conference.
He restated the government position on troops and weapons on islands in the South China Sea, describing the deployments as an assertion of sovereignty and said that allegations of militarization were “hyped up” by the U.S.
Philippine Defense Secretary Delfin Lorenzana stopped short of endorsing the FONOPs but told the Nikkei Asian Review that “it is our belief that those sea lanes should be left open and free.”
In contrast to Duterte's reluctance to confront China, his predecessor as president, Benigno Aquino, was frequently outspoken about China's increasing control of the sea. He pressed a case against Beijing to an arbitration tribunal in 2013 after a protracted naval stand-off the year before around Scarborough Shoal, a rock claimed by both countries and lying about 120 nautical miles off the Luzon coast.
In mid-2016 the tribunal dismissed China’s expansive “nine-dash line” claim to much of the South China Sea and its artificial island-building and expansion, all of which the tribunal said contravened the 1982 United Nations Convention on the Law of the Sea, or UNCLOS.
Duterte said he would not “flaunt” the tribunal outcome, in contrast with his campaign pledge to assert the country's sovereignty -- he even vowed to ride a jet ski to one of China's artificial islands and plant the Philippine flag there. Manila hopes for significant Chinese investment in roads, rail and ports, as part of Beijing's Belt and Road Initiative, a multicontinent plan outlining China-backed infrastructure upgrades.
Filipino activists rally outside the Chinese Consulate in Manila in February to protest Beijing's continued reclamation activities in the South China Sea.   © Reuters
Defense Secretary Lorenzana emphasized in remarks to the media in Singapore that good relations with China remain a priority, regardless of bilateral disputes. “It is just natural for us to befriend our neighbor. We cannot avoid dealing with China, they are near, [and] many Filipinos, including me, have Chinese blood.”
For the Philippines, a U.S. treaty ally, there are growing doubts about whether the American navy would protect them in a conflict with China, something Duterte, a brusque critic of the U.S., has questioned publicly.
Mattis, like former President Barack Obama and his Secretary of State Hillary Clinton, sidestepped a question on that issue in Singapore, saying, “The reason why public figures do not want to give specific answers is that these are complex issues.”
American evasiveness is a reminder to the Philippines that the U.S. might not risk war with China over its old ally. “It is debatable whether Filipinos believe that the U.S. will have its back in a conflict with China,” Batongbacal of the University of the Philippines said. “Duterte's repeated statements against the reliability of the U.S. as an ally tends to undermine this further.”
Duterte's reticence has left Vietnam as the sole claimant willing to speak up. Discussing recent developments in the South China Sea, Vietnamese Defense Minister Gen. Ngo Xuan Lich told the Singapore conference, "Under no circumstances could we excuse militarization by deploying weapons and military hardware over disputed areas against regional commitments.”
Lich did not name-check China in his speech, but described “a serious breach to the sovereignty” of another country that “violates international laws, complicates the situation and negatively affects regional peace, stability and security.”
As well as hindering oil and gas projects in waters close to Vietnam, China's navy has for several years harassed Vietnamese fishing boats -- as it does around the Philippines -- and continues to occupy islands seized from Vietnam nearly five decades ago.
In 2014, anti-China riots kicked off across Vietnam after China placed an oil rig in South China Sea waters claimed by Hanoi. In early June there were demonstrations against proposals that protesters claimed will give Chinese businesses favored access in so-called Special Economic Zones in Vietnam.
The Lan Tay gas platform, operated by Rosneft Vietnam, sits in the South China Sea off the Vietnamese coast. China has been hindering Vietnam's oil exploration activities in the sea.   © Reuters
Vietnam's response to potential isolation has been a cautious dalliance with the U.S. In late 2016, shortly before the election of Donald Trump as U.S. president, American warships docked in Vietnam's Cam Ranh Bay naval base, the first such visit since the former antagonists normalized ties in 1995. That landmark was followed in March this year by the arrival of a U.S. aircraft carrier to the central Vietnam city of Danang.
Hanoi recently called for greater Japanese involvement in the region's maritime disputes, perhaps signalling an interest in a wider effort to counter China. But unlike the Philippines, Vietnam, which like China is a single party communist-run state, is not a U.S. treaty ally. Historical and ideological differences mean that there are limits to how closely Vietnam will align with the U.S.
“I think there is a good momentum with defense cooperation with the U.S. But I don't think that it would immediately mean jumping into the ‘American camp,’ whatever it means,” said Huong Le Thu, senior analyst at the Australian Strategic Policy Institute.
From Bollywood to Hollywood
The U.S. has sought to widen the array of countries it hopes will join it in countering China’s rising influence. During his 12-day swing through Asia in late 2017, Trump peppered his speeches with references to the “Indo-Pacific,” dispensing with the long established “Asia-Pacific” label in favor of a more expansive term first used by Japan.
The "Indo-Pacific" was then mentioned throughout the U.S. National Security Strategy published soon after Trump’s Asia trip -- a document that alleged China aims to “challenge American power” and “is using economic inducements and penalties, influence operations, and implied military threats to persuade other states to heed its political and security agenda.”
Three days before his Singapore speech, Mattis announced in Hawaii that the U.S. Pacific Command would be renamed the Indo-Pacific Command, describing the expanded theater as stretching “from Bollywood to Hollywood."
Mattis later added some gravitas to the cinematic catchphrase, saying in Singapore that “standing shoulder to shoulder with India, ASEAN and our treaty allies and other partners, America seeks to build an Indo-Pacific where sovereignty and territorial integrity are safeguarded -- the promise of freedom fulfilled and prosperity prevails for all.”
The Trump administration clearly hopes for greater Indian involvement in its efforts to counter China's growing influence. Kori Schake, deputy director-general of the International Institute for Strategic Studies, said that while “Indo-Pacific isn't yet an established part of the lexicon,” the implications of the term are clear.
“India is an Asian power. The countries adopting the term are encouraging India into greater cooperation in maintaining the maritime commons in the Indian and Pacific oceans,” said Schake, a former U.S. State Department official.
Indian Prime Minister Narendra Modi addresses the Shangri-La Dialogue, an annual security conference, in Singapore on June 1. (Photo by Simon Roughneen)
Modi enthusiastically echoed American rhetoric about a “shared vision of an open, stable, secure and prosperous” Indo-Pacific, which he described as “a natural region” -- countering those who wonder if an area stretching from Bollywood to Hollywood might too vast and disparate to be cast into a geopolitical fact on the ground.
But Modi also heaped praise on China, despite its border dispute with India and increasingly close economic ties with Pakistan, India's neighbor and nuclear rival.
“Our cooperation is expanding. Trade is growing. And, we have displayed maturity and wisdom in managing issues and ensuring a peaceful border,” Modi said.
China's foreign ministry described Modi's speech as "positive," while one of its military delegation at the Singapore conference gloated that India and the U.S. "have different understandings, different interpretations, of this Indo-Pacific."
China's first domestically designed and built aircraft carrier   © Kyodo
It is perhaps no surprise then that China's rivals in the South China Sea do not yet regard the nascent Indo-Pacific alliance-building as something to pin their hopes on when it comes to control of the sea.
“We are witnessing the great power shift toward Asia-Pacific with the 'Indo-Pacific strategy,' Belt and Road Initiative and a series of country grouping[s] in the region,” Lich said, cautioning that “the outcomes for the region and the world are somewhat yet to be unveiled.”
Lich's Philippine counterpart was even more circumspect, particularly regarding the Indo-Pacific concept. “I have to study it some more,” Lorenzana said. “This is a new construct in this area.”</t>
  </si>
  <si>
    <t>WASHINGTON - Former United States President Barack Obama's pivot to Asia is yesterday's policy, but a group in the US Congress is working to ensure that America - with an eye on China - focuses on Asean.
The Congressional Asean Caucus was co-founded last year by Texas Representative Joaquin Castro, who is also part of the Congressional Singapore Caucus and sits on the foreign relations and intelligence committees in the House of Representatives.
Mr Castro, 43, a Democrat, told The Straits Times in an interview that he believes Asean should be central to the Indo-Pacific, adding that he has made this point to the State Department and the US Trade Representative publicly and also privately.
Lawmakers of the caucus are also assuring their counterparts in the region that the US remains strongly committed to Asean, he added.
US Secretary of State Mike Pompeo is due to meet foreign ministers of the other East Asia Summit member states - Asean plus Australia, China, Japan, India, New Zealand, South Korea, and Russia - in Singapore on Friday (Aug 3); US President Donald Trump is expected to visit Singapore to attend the East Asia Summit in November.
But the US has not yet appointed an ambassador to Asean, or to Singapore after its first nominee to the Singapore post, Ms K.T. McFarland, withdrew.
"There's no question that after the US decided not to be part of the TPP (the Trans Pacific Partnership trade pact), there's been a reorienting," Mr Castro said.
"That's why we are making an extra effort to let them (Asean countries) know we want to continue to increase trade, to continue to have deeper relations," he said.
Mr Castro co-founded the Congressional Asean Caucus in February 2017, inspired partly by a trip to Vietnam in May 2016 with then-President Obama, and by the fact that there was no Asean caucus in Congress then.
The caucus is bipartisan - the other co-founder is a Republican, Missouri Representative Ann Wagner.
Since that 2016 trip, China "has really stepped up its activities in South-east Asia, trying to dominate the region economically", Mr Castro told The Straits Times in an interview in his Washington office.
"I'm very concerned about China's rapid development and militarisation of islands in the South China Sea, and what it… means for the nations of the world if China strategically sets itself up to be able to block trade routes," he added.
"Of course we hope it never comes to that. We will do what we can to make sure it never comes to that, but it's also important for the US to continue to press for freedom of navigation for all nations who've got a right to go through there."
In May, the US announced that it had "disinvited" China from the world's largest international naval exercise, the US-led Rim of the Pacific, or RIMPAC, as a signal of its disapproval of China's actions in the South China Sea - a topic that is expected to figure as usual at the Aug 3 meetings in Singapore.
The Congressional Asean Caucus has made efforts to urge Mr Trump to appoint an ambassador to Asean.
Last month, it wrote to him, noting that the US Mission to Asean has now gone for over a year without an ambassador, the longest period since the position was created.
"Last fall, you articulated your vision for a free and open Indo-Pacific, and we believe that nominating an ambassador to Asean will help promote your priorities in engaging our partners and allies in the region," the caucus wrote.
Mr Castro told ST that while the US is no longer a party to the TPP, which has since been revised, it still has the largest foreign direct investment in the region.
He said: "Our ties remain very strong, and I've made a special effort as have other members of the caucus, to engage members of the different legislative bodies of the Asean countries to let them know they have friends in Congress and we are going to build this relationship to be as strong as possible."</t>
  </si>
  <si>
    <t>SINGAPORE - Asean can weather the ongoing drastic changes in the global environment if its members strike the right balance between promoting their national interests and staying united as a grouping, Foreign Minister Vivian Balakrishnan has said.
Storm clouds are gathering, he said in his opening remarks at the Asean Foreign Ministers' Meeting (AMM) on Thursday (Aug 2), as he sketched out the grim raft of challenges.
Veteran American diplomat Henry Kissinger had declared this a "very, very grave period for the world", said Dr Balakrishnan, noting the emergence of a multi-polar world, trade wars, and waves of disruption caused by the digital revolution.
This is why Singapore, in its term as Asean chair, is pushing for a "resilient and innovative" Asean, the minister said.
And while the regional grouping has made great strides since its formation, it must stay the course and remain united as challenges loom, he added.
"We need to find the right balance between hanging on to our foundational principles and at the same time transforming our societies for the future. We need to find the right balance between promoting our national interests and yet safeguarding our regional unity," he said.
"And if we can find this balance, then we can make common cause and despite the fact that this may be a very, very grave period, we should also be in a position to seize the many opportunities that lie ahead of us."
The 51-year-old regional grouping must remain anchored to the core principles of Asean unity and centrality, maintain an open, inclusive and rules-based regional architecture, and double down on community-building efforts while enhancing cooperation in newer areas including smart cities and e-commerce, he added.
"And Asean has to remain a testament to the benefits of free trade and economic integration," said Dr Balakrishnan, citing the importance of the Regional Comprehensive Economic Partnership (RCEP) which members hope can be concluded by the end of this year.
"In fact, free trade and economic integration has been a recipe for peace and prosperity in South-east Asia over the last five to seven decades."
But Asean cannot go at it alone, he added. It must continue to work with its external partners through Asean-led mechanisms.
Key partners, including China, Japan, South Korea and the United States, are in town for a marathon week of annual meetings, culminating in the East Asia Summit foreign ministers' meeting and Asean Regional Forum retreat on Saturday.
Dr Balakrishnan said he was confident that discussions over the coming days will yield meaningful outcomes, citing some of the collaborations in the works, such as the cyber security-related Asean Regional Forum workshop Singapore plans to host later this year.
The Asean Plus Three - Asean member states with China, Japan and South Korea - is also exploring a statement on cooperation against anti-microbial resistance, and the East Asia Summit is negotiating a range of statements on topics such as cyber security, smart cities and counter-terrorism, he added.
In his opening remarks at the AMM Plenary Session later in the morning, Dr Balakrishnan reiterated the need for Asean to maintain its composure and ability to cope with major tectonic shifts.
"We are already making steady progress and we'll use this session to assess what else we need to do and how urgently we need to progress in order to give reality to our leaders' vision," he added.
He noted that the region was recently struck by disaster - the collapse of the Xe Pien-Xe Namnoy hydroelectric dam in Laos and the Lombok earthquake in Indonesia - but also saw a miracle that captivated the world: the dramatic rescue of the young soccer team that got stranded in a cave in northern Thailand.
"The whole world was watching and praying, and I think we were all ecstatic when the rescue was made," he said, turning to Thai Foreign Minister Don Pramudwinai. "It also showed the bravery of the boys, the resilience and the unity of the team, the way you were able to engage and work with the international community as well, and the sacrifice and bravery of the Navy seals. So we congratulate Thailand for that."</t>
  </si>
  <si>
    <t>China and the Association of Southeast Asian Nations (ASEAN) have had a long established, friendly relationship since a dialogue mechanism was established in 1991, and the two sides have witnessed increased benefits in a broad array of areas like trade and tourism.
In 2017, China-ASEAN trade volume reached 514.8 billion US dollars with a year-on-year increase of 13.8 percent. China exported 279.1 billion US dollars' worth of goods to ASEAN, up nine percent year on year, and imported goods worth 235.7 billion US dollars, an increase of 20 percent on an annual basis.
China's main export destinations are Vietnam, Singapore and Malaysia, while its main import markets consist of Malaysia, Vietnam and Thailand.
The trade volume between China and ASEAN has risen from 362.85 billion US dollars seven years ago to the current 514.8 billion US dollars, and the total two-way investment stands at nearly 200 billion US dollars.
Since 2009, China has been the largest trading partner of ASEAN. Meanwhile, ASEAN has also become China's third largest trading partner for seven consecutive years.
Singapore was top on the list of China's trading partners among ASEAN countries with its total foreign trade value up to 99.3 billion US dollars, followed closely by Vietnam with 93.8 million US dollars and Thailand with 73.6 million US dollars.
China is now Singapore's largest trading partner and source of tourists, and Singapore has become China's largest source of foreign capital and one of the largest offshore RMB clearing centers.
For many years, China has been Vietnam's largest trading partner and its second largest export market. Vietnam took up 21.6 percent of the proportion of bilateral trade between China and ASEAN countries in 2016. In order to achieve bilateral trade volume of 100 billion US dollars (about 680.9 billion yuan), the two sides have formulated moderately flexible policy mechanisms to spur cross-border trade.
The cooperation between China and ASEAN in infrastructure construction and connectivity is also developing fast. 
By the end of May 2017, the total amount of infrastructure construction projects signed by Chinese enterprises in ASEAN countries had reached 296.27 billion US dollars. At present, a large number of roads, railways, ports, airports, bridges and electricity projects are being implemented.
In 2017, the commodity with the highest value among China's exports to Southeast Asia was "Electrical machinery and equipment", reaching 50.8 billion US dollars and accounting for 9.9 percent of China's total exports to Southeast Asia, followed by "Boilers, machinery, and mechanical appliances" with their export value standing at 14.7 billion US dollars. 
ASEAN is vigorously pushing ahead with infrastructure construction, and the demand for construction, transportation and power equipment is growing.
Aside from a booming trade, China has also maintained its position as ASEAN's largest source of foreign tourists since 2012, with 20.3 million Chinese tourists visiting ASEAN countries in 2016, up 6.4 percent from the previous year.
At present, China and ASEAN act as each other's largest overseas tourist destinations and source of tourists, with more than 2,700 flights a week between China and ASEAN countries.
Among them, Thailand attracts the most Chinese tourists with 8.8 million trips in 2016, followed by Singapore, Vietnam and Malaysia, with 2.9 million, 2.7 million, 2.1 million respectively. 
Thailand, Singapore and Malaysia are among the earliest destinations for outbound travel.
At the same time, China's appeal to ASEAN tourists is on the rise. Among China's top 15 inbound tourist markets, six are ASEAN countries.
South China's Guangxi Zhuang Autonomous Region welcomes over three million inbound tourists annually on average, and nearly half are from ASEAN countries thanks to its geographical proximity to the 10-nation bloc.</t>
  </si>
  <si>
    <t>Southeast Asia is the top priority in Beijing’s foreign policy with the developing world despite its unresolved territorial disputes over the South China Sea, a US-based think tank said.
While the United States and China are competitors on the world stage and appear to be working separately, the two powers that are currently locked in a trade war, may be able to collaborate outside Asia where they have fewer overlapping interests, the California-based Rand Corp said in a study of China’s policies with the developing world.
Southeast Asia, with its close political, economic and cultural ties, is the most important developing region for China despite its long-standing territorial disputes with Vietnam, the Philippines, Malaysia and Brunei over the South China Sea.
China has been Asean’s top trading partner for the past eight years and also its third-largest source of foreign direct investment. In 2017 China’s trade with Asean was US$514 billion, with Vietnam, Malaysia and Thailand being its biggest trading partners, according to official figures from Beijing.
According to the Rand report, 21 of China’s 39 maritime trade routes and 60 per cent of Chinese trade pass by the Spratly Islands, a disputed group of islands claimed by China, Malaysia, the Philippines and Vietnam.
“Unlike other developing regions, China’s trade with the region is weighted much more heavily towards two-way trade in manufactured items rather than by China’s purchase of raw materials,” the report said.
“All 10 members of the Association of Southeast Asian Nations [Asean] are among the 57 founding members of the China-led Asian Infrastructure Investment Bank, which is widely seen as a vehicle for funding the ‘Belt and Road Initiative’.”
According to the report, four countries in the region – Indonesia, Malaysia, Thailand and Vietnam – are central to Beijing’s interests.
“Indonesia, Malaysia and Thailand have not taken firm stances against Chinese territorial claims in the South China Sea, have friendly relations with China, and are among Asean’s largest, most developed economies,” the report said.
Vietnam, despite its stronger stand against Beijing’s expansionism in the South China Sea, still has strong ties to China given shared communist political ideology, the report said.
But Beijing’s policy towards Southeast Asia was “largely one of divide and conquer”, it said.
While encouraging Asean countries with no disputes with China to stay on the sidelines, Beijing is dealing with dispute claimants on a bilateral basis in an effort to keep external players, such as the US and Japan, out of its game, it said.
“China is proceeding cautiously to prevent Asean countries from uniting against China. To dampen regional concerns of Chinese military strength, Beijing has opted to use its coastguard, not the PLA Navy, as the frontline actor in preserving Chinese territorial claims” in the South China Sea, the report said.
China has upheld its claims in the South China while also increasing its military presence and promoting trade and investment, it said.
The report, which was published on Wednesday, comes at a time of growing tensions between China and the US. Earlier this month, US vice-president Mike Pence slammed China’s aggressive behaviour following a near collision between a Chinese destroyer and an American warship.
US Defence Secretary James Mattis is set to meet his Chinese counterpart Wei Fenghe on the sidelines of an Asean defence ministers’ meeting in Singapore on Thursday.</t>
  </si>
  <si>
    <t>China and Asean are holding their first joint naval exercises as Beijing targets stronger regional military ties and confronts a growing rivalry with the United States in the disputed South China Sea.
The six-day China-Asean Maritime Exercise got under way in Zhanjiang in southern China’s Guangdong province on Monday and will include personnel from all 10 members of the Association of Southeast Asian Nations.
The drills would involve eight ships, three helicopters and more than 1,200 personnel in helicopter cross-deck landings and a joint search-and-rescue operation based on the Code for Unplanned Encounters at Sea, China News Service reported.
Three Chinese vessels – the destroyer Guangzhou, the frigate Huangshan and the replenishment ship Junshanhu – would take part, the report.
Singapore has sent its Formidable-class frigate RSS Stalwart, while Brunei has dispatched a patrol vessel and Thailand and Vietnam have each sent a frigate. Cambodia, Indonesia, Malaysia and Myanmar sent observers.
Chinese navy personnel are taking part in navy exercises with Asean counterparts off Zhanjiang, Guangdong province. Photo: Handout
In what is believed to be its first military drill with China after decades of strategic suspicion as well as the territorial confrontation in the Spratly Islands, the Philippines sent the logistic support vessel BRP Dagupan City, according to an earlier report by the Philippine News Agency.
Chinese Vice-Admiral Yuan Yubai, commander of the People Liberation Army Navy’s Southern Theatre Command, said the joint exercise was a significant move towards regional security, collaboration and confidence-building.
The drill was first proposed at the China-Asean defence ministers’ meeting in 2015 and comes as fears grow that China’s tensions with the US over trade and the South China Sea could affect Southeast Asia, where four Asean member-states – Malaysia, Vietnam, Brunei and the Philippines – have overlapping claims with China.
Beijing claims more than 80 per cent of the South China Sea and has cemented its military presence in the region by turning some contested reefs and shoals into military outposts.
It has also sought to improve military ties with its Southeast Asian neighbours in recent years with joint drills and port calls.
But it is facing greater challenges from Washington, which has also been more assertive in recent months about its “freedom of navigation” rights in and over the disputed waters.
At a defence ministers’ meeting in Singapore on Friday, Asean and the US agreed to conduct a similar joint drills in the South China Sea next year.
The China-Asean naval drills will take place over six days. Photo: Handout
Observers said this week’s joint exercise reflected the desire of regional players to improve trust with China but the event would be no more than symbolic.
Collin Koh, a research fellow at the S Rajaratnam School of International Studies at Nanyang Technological University in Singapore, said that while the drills could be seen as “a milestone” for PLA’s defence diplomacy, it was hard to see what the next step would be.
“Because of the varying levels of capabilities and capacities amongst [the participating navies], it’s difficult to go further than what we deem as ‘low-hanging fruit’ type of joint training topics that all participants can find acceptance in, without unnecessarily impinging upon political sensitivities,” Koh said.
But he also said “Asean’s role appears to have been magnified in the defence diplomacy of both China and the US, not least because of the pivotal position of Southeast Asia in this whole Indo-Pacific construct”.
Xu Liping, a senior research fellow with the National Institute of International Strategy at the Chinese Academy of Social Sciences, said the US remained a “difficult challenger” to Beijing’s interests in the region.
“Asean, with its traditional neutrality policy, will aim to balance its role between the US and China, but its [planned] joint drills with the US are more symbolic,” Xu said.
Huong Le Thu, a senior analyst from the Australian Strategic Policy Institute, said the drills were a signal that there is more open competition between great powers.
“I think the drills and exercises with regional actors will only increase – this will become an important component of the great power competition.”</t>
  </si>
  <si>
    <t>ZHANJIANG, GUANGDONG - Eight ships kicked off the first Asean-China Maritime Field Training Exercise in Zhanjiang in China's southern Guangdong province on Monday (Oct 22).
In an opening ceremony at Ma Xie Naval Base attended by all 11 countries, Singapore chief of navy, Rear-Admiral Lew Chuen Hong, emphasised the sea's importance to the region, and how prosperity could be possible only if the sea is stable and secure.
"To allow the stable and collective use of a shared space, a set of common rules and understanding is very important," he said, giving the examples of the United Nations Convention on the Law of the Sea, adopted in 1982, and a naval code agreed to by Asean and regional powers last year.
RADM Lew and his counterpart, Vice-Admiral Yuan Yubai, commander of the People Liberation Army Navy's Southern Theatre Command, jointly opened the exercise involving more than 1,000 people on Monday.
Singapore and China are co-organising the six-day drill, which is expected to involve helicopter cross-deck landings and a joint search and rescue operation.
Representing Singapore is the Formidable-class frigate RSS Stalwart, which arrived on Sunday, while China is sending a destroyer ship, Guangzhou; a frigate, Huangshan; and a supply ship, Junshanhu.
The other ships participating are a patrol vessel from Brunei, a logistics support vessel from the Philippines, and a frigate each from Thailand and Vietnam.
Cambodia, Indonesia, Malaysia and Myanmar sent observers.
The field training exercise comes after a two-day table-top exercise held at the RSS Singapura - Changi Naval Base in August this year.
Then, naval officers from the 11 countries discussed plans to tackle simulated scenarios, such as search and rescue operations, and medical evacuation.
Vice-Admiral Yuan said in his speech that the exercise was a significant move towards regional security, collaboration and confidence-building.
"I am confident that the exercise will yield its expected outcomes, become a predominant platform for deepening mutual understanding and exchange, and set a new milestone for a community of a shared future between China and Asean."
In his speech, RADM Lew said that since ancient times, the ocean carried trade across the Asia-Pacific, and ships plied the maritime silk route from ports in Guangzhou, throughout South-east Asia, to the Middle East, Africa and beyond.
"Asia's phenomenal growth, especially in the last 50 years, has uplifted all our nations and our peoples. That growth is literally carried on the sea," he added.
RADM Lew said that the Code for Unplanned Encounters at Sea (Cues) is one example of promoting practical cooperation and norms - "it enhances operational-level communication and reduces risk of miscalculations".
The code was adopted by the Asean Defence Ministers' Meeting-Plus last year - a grouping which includes the United States, China, Russia and Japan.
He noted that Asean defence ministers had reaffirmed the Asean-China Maritime Exercise as an important confidence-building measure at the 12th Asean Defence Ministers' Meeting in Singapore last week.
Speaking to reporters last Saturday, Singapore Defence Minister Ng Eng Hen said that the exercise was a "very positive engagement", and that China was "very happy" with it.
"I think it's always better that you have exercise and you have troops meeting each other, having the same mission, looking at each other eye-to-eye and planning together, rather than across the table at cross purposes and contending on issues on the opposite side."
He will be visiting the exercise on Tuesday, before going to Beijing to attend the 8th Beijing Xiangshan Forum, which brings together high-level defence, military and foreign affairs leaders from around the world to discuss security issues.</t>
  </si>
  <si>
    <t>China and its Southeast Asian neighbours have reiterated their commitment to work together to avoid confrontation and clashes in the disputed South China Sea, as Beijing also called for greater cooperation on trade.
Speaking on Wednesday at a regional summit in Singapore, Lee Hsien Loong, prime minister of the city state, said the Association of Southeast Asian Nations and China would continue to advance their strategic partnership and pointed to the joint maritime exercise held last month as evidence of how the two sides could build good relations.
“We have deepened mutual trust and understanding, and managed our differences peacefully,” he said.
Territorial disputes in the South China Sea, where Beijing has stepped up its military deployment in recent years, is one of the main agenda items at the Asean-China meeting, especially in the light of the close encounters between Chinese and US naval vessels.
Singapore’ Prime Minister Lee Hsien Loong said Asean and China have deepened mutual trust and managed differences peacefully. Photo: AFP
US Vice-President Mike Pence said in a meeting with Vietnamese Prime Minister Nguyen Xhan Phuc on the sidelines of the summit that Washington was committed to maintaining openness in the waterway.
“We share your desire for a binding Asean code of conduct to ensure free and open navigation in the South China Sea,” he said.
In a separate interview with The Washington Post, Pence said the US would not be intimidated by China.
“We will not stand down.” he said. “We will continue to exercise freedom of navigation.”
Chinese Premier Li Keqiang said countries in the region were able to manage territorial disputes as they were working towards a code of conduct to govern activity in the South China Sea.
“We have found the way to properly manage and defuse differences,” he said.
The situation was moving towards “greater stability” and progress was being made on a single draft text for a code of conduct for the sea, he said, adding that Beijing wanted to have a final agreement within three years.
China and Asean already have a non-binding “declaration” for the waterway but are working towards a more robust agreement.
Philippine President Rodrigo Duterte said that while a code of conduct for the South China Sea was needed “at all costs”, the threat of confrontation and trouble in the waterway came from outside the region.
“Everything’s been excellent between China and the rest of Asean, except for the fact that there’s friction between Western nations and China,” he said as he headed into the summit.
Despite Duterte comments, the Philippines has been one of the most vocal critics of China’s aggression in the sea, where it has built up military installations and other facilities. In 2016, the United Nations ruled in Manila’s favour on a dispute it had with Beijing over territorial rights.
Away from the troubles of the South China Sea, Premier Li also called for China and Asean to boost regional investment and trade, and said the two sides had completed the domestic procedures to upgrade their free-trade agreement.</t>
  </si>
  <si>
    <t>The South China Sea, one of the world’s busiest waterways, is the site of long-simmering territorial disputes and increasingly frequent military drills by American and Chinese forces.
The overlapping claims of China, Vietnam, the Philippines, Taiwan, Malaysia and Brunei have remained unresolved for decades. Amid these conflicts, and as tensions between Beijing and Washington rumble on, the Trump administration upped the ante in July by issuing a direct challenge to China’s claims in resource-rich waters, calling them “completely unlawful”.
The Association of Southeast Asian Nations (Asean) and several Southeast Asian nations have also used stronger language against China’s claims this year, and highlighted that the United Nations Convention for the Law of the Sea (Unclos) should be the basis for resolving the long-standing row.
The Philippines, Vietnam, China, Brunei, Taiwan and Malaysia hold different, sometimes overlapping, territorial claims over land features in the sea, based on various historical and geographical accounts. The territorial dispute over the land features in turn has given rise to sharply different views among the countries about their maritime rights.
China claims more than 80 per cent of the waterway via its “nine-dash line”, which stretches as far as 2,000km from the mainland, reaching waters close to Indonesia and Malaysia.
Vietnam claims sovereignty over the Paracel Islands and the Spratly Islands, while the Philippines asserts ownership of the Spratly archipelago and the Scarborough Shoal. Brunei and Malaysia have claimed sovereignty over southern parts of the sea and some of Spratly Islands. Over the years, the claimants have seized control of a raft of sea features, including rocks, islands and low-tide elevations.
Indonesia is not a claimant state but maintains an exclusive economic zone in the Natuna Islands on the edge of the South China Sea, and has challenged China’s efforts to fish in the region. Earlier this year, Jakarta protested the presence of a Chinese coastguard vessel escorting Chinese fishing boats in the area, and deployed fighter jets and warships to patrol the islands.
Vietnamese sailors patrolling on Phan Vinh Island in the Spratly archipelago. Photo: AFP
Vietnamese sailors patrolling on Phan Vinh Island in the Spratly archipelago. Photo: AFP
The South China Sea is a key commercial thoroughfare connecting Asia with Europe and Africa, and its seabed is rich with natural resources. One third of global shipping, or a total of US$3.37 trillion of international trade, passes through the sea.
About 80 per cent of China’s oil imports arrive via the Strait of Malacca and the South China Sea.
The sea is also believed to contain major reserves of natural resources, such as natural gas and oil. The US Energy Information Administration estimates the area contains at least 11 billion barrels of oil and 190 trillion cubic feet of natural gas. Other estimates are as high as 22 billion barrels of oil and 290 trillion cubic feet of gas.
The South China Sea also accounts for 10 per cent of the world’s fishery stocks, making it a key source of food for hundreds of millions of people. To conserve stocks, Beijing in 1999 introduced an annual summer ban on fishing in the waters it claims, a “unilateral decision” disputed by Vietnam and the Philippines.
There have been multiple disputes and complaints over fishing boats from one claimant nation encroaching on waters in which another country claims sovereignty. Recent cases involve Vietnam and China, while Indonesia’s former fisheries minister made headlines for blowing up and sinking illegal fishing boats that had been seized by the authorities.
Washington’s hardened position on Beijing’s claims in South China Sea heightens US-China tensions
In 2014, the deployment of a Chinese drilling rig in waters near the Paracel Islands led to several confrontations between Vietnamese and Chinese ships and provoked protests in Vietnam.
That same year, Beijing began land reclamation operations in some of the features it controls in the Spratly archipelago, increasing surface area with man-made structures and in turn building military installations on them.
China has also established a new city on one of the islands – Sansha on Woody Island – in turn leading to an increase in Chinese tourism. Analysts note China’s success in changing the facts on the ground gradually, without triggering a major confrontation with other claimants or the US.
In July 2016, a ruling by an international tribunal in The Hague determined China had no “historic rights” over the sea and ruled that some of the rocky outcrops claimed by several countries could not legally be used as the basis for territorial claims. Beijing rejected the ruling and described it as having “no binding force”.
Later that year, Philippine President Rodrigo Duterte said he would set aside the tribunal’s ruling. While his administration is seen by analysts as being mostly pro-China, incidents in the South China Sea have soured public opinion in the Southeast Asian nation towards Beijing, including the June 2019 sinking of a Philippine fishing boat after it was struck by a Chinese vessel.
Chinese tourists on Quanfu Island, one of the Paracel Islands, in 2014. Photo: AP
Chinese tourists on Quanfu Island, one of the Paracel Islands, in 2014. Photo: AP
Officials from both sides have met to discuss joint oil exploration activities near the Reed Bank, most recently in January, while Philippine and Chinese diplomats last month called the disagreement a “little pebble” on the road to closer economic cooperation. Duterte also recently barred the Philippine military from US-led military exercises in the South China Sea, in a bid to keep a lid on tensions in the region.
Tensions between China and Vietnam over their overlapping claims have risen this year. In April, a Chinese coastguard vessel collided with and sunk a Vietnamese fishing boat leading to an official protest from Hanoi.
Later that month, in a bid to underline its sovereignty there, China named 80 geographical features in the Paracel and Spratly Islands, which are also claimed by Vietnam. It also set up two new administrative districts on the islands, to be governed by the city Beijing had set up in Sansha. In response, Vietnam accused China of “seriously violating” its sovereignty.
In late July, Malaysia issued an unusually strident rebuke of China following Beijing’s assertion that Kuala Lumpur had no right to seek the establishment of its continental shelf in the northern part of the South China Sea. In a note verbale to the United Nations, Malaysia stressed that its application was fully within its rights under the 1982 UN Convention for the Law of the Sea (Unclos).
Chinese dredging vessels in the waters around Mischief Reef in the disputed Spratly Islands. Photo: Reuters
Chinese dredging vessels in the waters around Mischief Reef in the disputed Spratly Islands. Photo: Reuters
A draft code of conduct for the South China was put forward in August 2018, while China and Asean reached an agreement in November that year to finalise it within three years of 2019. Vietnam was expected to make some progress towards the code during its 12-month chairmanship of the regional bloc this year, only for the Covid-19 pandemic to scuttle that plan.
Analysts say Asean as a collective has tried to be nuanced and subtle in its approach to the South China Sea issue in order to balance regional interests with those of its member states.
However, the chairman’s statement issued following the June Asean summit headed by Vietnam saw the association use what was seen as tough language on the disputed waterway, including concerns on “land reclamations, recent developments, activities and serious incidents” that “may have eroded trust and confidence” and “may undermine peace, security and stability”.
In the statement, Asean also reaffirmed that the 1982 Unclos was the basis for determining maritime entitlements and sovereign rights over maritime zones, and was “the legal framework within which all activities in the oceans and seas must be carried out”.
The assertion is seen as one of their strongest remarks opposing China’s stance, and a reference to the 2016 ruling in The Hague, which was made under Unclos and invalidated most of Beijing’s claims in the South China Sea.
China ends fishing ban in South China Sea, raising fear of potential conflicts among fishermen
The US has wide-ranging security commitments in East Asia, and is allied with several of the countries bordering the South China Sea, such as the Philippines, Singapore and Vietnam. Furthermore, the waterway is a vital trade route in the global supply chain, used by American companies who produce goods in the region.
The US has conducted regular Freedom of Navigation operations in the waters since 2015, designed to challenge what Washington considers excessive claims from Beijing and grant the free passage of commercial ships.
US patrols near disputed features claimed by China hit a record high in 2019, while it held 85 military exercises with regional allies in the Indo-Pacific last year. These included the first joint maritime exercises between the US and Asean, which were held in September 2019 and extended into the South China Sea.
In the latest salvo between the two superpowers – which have clashed heads over trade, Covid-19 and human rights – US Secretary of State Mike Pompeo in July issued a statement detailing Washington’s strident rejection of all Chinese claims beyond the 12-nautical-mile territorial area around the Spratly Islands.
Indonesia’s President Joko Widodo reaffirms his country's sovereignty during a visit to the Natuna Islands in January 2020. Photo: AP
Indonesia’s President Joko Widodo reaffirms his country's sovereignty during a visit to the Natuna Islands in January 2020. Photo: AP
July also saw Vietnam sign a memorandum of understanding with the US, which pledged support for Vietnamese fishermen against what the American ambassador called “illegal intimidation” in the waterway, without mentioning China. That same month, Chinese President Xi Jinping called Singapore’s Prime Minister Lee Hsien Loong and said Beijing would work with the island nation to safeguard regional stability – remarks seen as a “reminder” for it not to take sides.
According to analysts, Pompeo’s statement lays out a marker that Washington intends to align its foreign policy with the 2016 Hague ruling, similar to the stance taken by Asean – even though the US has never formally ratified Unclos. However, the bloc’s member states are seen as being likely to remain cautious and not publicly take Washington’s side, even after Pompeo’s broadside, as they need to maintain ties with Beijing to shore up their economic recovery from the Covid-19 pandemic.
Pompeo in August reached out to the foreign ministers of non-claimant states Indonesia and Singapore to reiterate American support for international law in the South China Sea, but the Southeast Asian nations steered clear of the US-China dispute.
Developments in the waterway are being keenly observed, with some critics warning that the South China Sea, rather than Taiwan, could be the spark for military action between the two superpowers.</t>
  </si>
  <si>
    <t>The bloc of Southeast Asian nations is negotiating a code of conduct with Beijing to prevent flare-ups in the contested waterway
In doing so, it risks alienating its global partners by undermining international law with cultural exceptionalism far from tranquil as Beijing asserts control and builds its military presence in the South China Sea. The strategic waterway is now one of the world’s most volatile geopolitical fault lines, and smaller countries in the region are faced with the thorny problem of how to respond.
For the Association of Southeast Asian Nations (Asean), its management of the issue will test whether the group believes in “Asian values” and cultural exceptionalism or places greater emphasis on upholding international law.
This debate played out last week when senior maritime officials from more than 40 nations, including 26 defence, navy and coastguard chiefs, gathered in Singapore for the 12th edition of the International Maritime Defence Exhibition and Conference (Imdex) Asia, which ended on May 16.
Alongside it ran the International Maritime Security Conference (IMSC), which provided a platform for professionals, policymakers and academics to iron out the issues.
The success of Imdex in recent years underscores the importance of shipping to Asia’s prosperity. According to the United Nations, international seaborne trade grew by 4 per cent in 2017 – the fastest in five years. Much of this growth stems from Asia: 4.4 billion out of the 10.7 billion tonnes of goods shipped globally each year are loaded at Asian ports.
The South China Sea is a critical maritime artery that feeds the Chinese, Korean and Japanese thirst for resources. It carries a third of global marine traffic supplying oil and gas, so the stakes are also high for the wider international community. Nations far and wide fear China wants to turn its “nine-dash line” marking its territorial claims into a “sea wall” within which it can dictate the terms of passage and use.
The national flags of the countries in the Association of Southeast Asian Nations at a conference in Singapore. Photo: AFP
Some Asean states have responded to these concerns by stepping up high-level talks and carrying out joint military exercises including the United States, much to the chagrin of China. But Asean as a whole has tried to push back against the spectre of the disputes turning into a zero-sum game. It has maintained its neutrality on the merits of territorial claims, leaving any resolution to the claimants. At the same time, the group has actively tried to engage China to prevent any escalation of tensions.
A hotline has been established between Asean’s 10 ministries of foreign affairs and China, and the parties have agreed to the Code for Unplanned Encounters at Sea, which seeks to create a rules-based approach to the issue. Asean and Beijing are now in the process of negotiating a more expansive code of conduct.
Amid mistrust between the parties, frameworks for cooperation are sorely needed, but the wider world worries the new code will operate in a regional vacuum irrespective of international maritime law, which revolves around the 1982 United Nations Convention on the Law of the Sea.
An uninhabited isle in the Spratly Islands, one of many disputed islets in the South China Sea. Photo: Reuters
Those who subscribe to the doctrine of “Asian values” argue the code should supersede international law on the basis that what is needed are “regional arrangements with regional characteristics”. This presents a direct challenge to the rules-based international order. Frameworks out of step with global conventions and law risk isolating the region and will be challenged.
Such an approach also runs counter to Asean’s long-standing creed of upholding an open and inclusive regional order. The group cannot and should not support propositions based on cultural exceptionalism.
The South China Sea must be considered part of the waters over which sovereignty or jurisdiction cannot be claimed beyond the applicable maritime zones, as stipulated in the UN Convention on the Law of the Sea. It is incumbent on Asean to keep the sea open for peaceful use by the international community, and this can only be accomplished by strictly upholding the 1982 law, which provides equal and unbiased protection to all states regardless of their size, power and geography.
Aircraft carrier the USS Ronald Reagan in the South China Sea last August. Photo: EPA
In negotiating the code of conduct, Asean must not become overly ambitious. The code is not meant to create a new body of law. Rather, it is a confidence-building mechanism to codify a set of dos and don’ts to minimise and prevent escalation of conflict. Asean should be vigilant against efforts to prejudice the legitimate interests of the international community on freedom of navigation at sea and overflight.
International law has been invaluable to safeguarding regional peace and prosperity. It provides a level playing field and the foundation for stable interstate relations. It must remain the fundamental operating principle and not become a last resort to be used only at times of conflict. Asean needs to stay committed and put the rule of law first.</t>
  </si>
  <si>
    <t>SINGAPORE - Chinese Defence Minister Wei Fenghe on Sunday (June 2) reiterated China's stand on its trade friction with the United States, saying his country's door is open if the US wants to talk but that it would "fight till the end" if a fight is what Washington wants.
The highest-level Chinese official to speak at the Shangri-La Dialogue in nearly a decade - Defence Minister Liang Guanglie spoke in 2011 - General Wei set out China's position on several issues of concern to the Asian power and also the region.
He spoke out strongly on the Taiwan question, the first issue he raised in his speech, indicating its importance to China, stressing that China and the self-ruled island must be reunified.
"If anyone dares to split Taiwan from China, the Chinese military has no choice but to fight at all costs for national unity," he said.
He accused the US of interfering in China's affairs through its Taiwan Relations Act, which governs Washington's relations with the island that is seen by China as a breakaway province. The law allows the US to provide Taiwan with arms of a defensive nature, among other things.
"We can find no justifiable reasons for the US to interfere in the Taiwan question by its domestic law," he said.
Gen Wei warned that no attempts to split China shall succeed and that "foreign intervention in the Taiwan question is doomed to failure".
Analysts have said that China is increasingly worried about the US using Taiwan as a card in their relationship. The US under President Donald Trump has moved closer to Taiwan, including enacting a new Taiwan Travel Act that allows high-level US officials to visit Taiwan and vice versa.
The second issue raised by Gen Wei was the South China Sea.
Noting that the situation in the resource-rich waters, where China has overlapping claims with four Asean countries, is improving towards greater stability, he said there are "people trying to rake in profits by stirring up troubles in the region", in a veiled reference to the US.
He justified China's building of islands on rocks and reefs in the contested waters, saying "it is the legitimate rights of a sovereign state to carry out construction on its own territory".
He also defended the building of military facilities on these reclaimed islands, saying: "In the face of heavily armed warships and military aircraft, how can we stay impervious and not build some defence facilities?"
Though he did not elaborate, he was in all likelihood referring to the freedom of navigation and overflight operations that the US military has been conducting in waters close to these islands.
Gen Wei also touched on China's role in the North Korea nuclear issue, saying it is committed to denuclearisation, peace and stability of the Korean peninsula and to a negotiated solution through dialogue and consultation.
He pointed out that China has played "an irreplaceable and constructive role" in promoting peace talks between the US and North Korea.
On the all-important China-US relations, he urged that the two sides to work towards cooperation.
"The most valuable lesson we have learnt from the four-decade-long relationship is that cooperation benefits the two sides while confrontation hurts both," he said.
He reassured his audience, consisting of defence ministers, senior military officials and academics from the region and beyond, that China pursues a path of peaceful development and does not seek hegemony.
Some analysts have noted that the growing China-US rivalry led to China sending a high-level delegation to the security summit this time.
This is particularly as the US expounded its Indo-Pacific Strategy to create a networked region to deal with challenges.
"They are worried that if China doesn't come out and make a statement and explain China's positions, perhaps more countries will be influenced by the US vision of the Indo-Pacific, and may become more subscribed to American ideas and policies," said Associate Professor Li Mingjiang of the S. Rajaratnam School of International Studies.</t>
  </si>
  <si>
    <t>When Indonesia sent warships to the Natunas this week, it became the latest Southeast Asian nation to stand up to China’s maritime assertiveness
Vietnam and Malaysia are likely allies in the cause, but Chinese patronage means other countries will be less inclined to make waves W Joko Widodo visited a small archipelago on the edge of the South China Sea this week, he sent a message to the world.
“There are no more debates. De facto, de jure, Natuna is Indonesia,” said Widodo as he met fishermen, promised investment and reiterated his long-standing position on the sovereignty of the Natuna Islands.
The Natunas, which lie roughly 1,100km south of the Spratly Islands, are at the centre of a spat between Indonesia and China that this week forced its way into headlines across the world.
They are surrounded by resource-rich waters that China claims as part of its traditional fishing grounds and to reinforce these claims Beijing has in recent weeks sent coastguard ships to escort its fishing vessels into the surrounding area.
On Wednesday, that prompted a forceful response from Jakarta, which deployed fighter jets and warships to the islands ahead of Widodo’s visit and said it would send hundreds of fishermen to the Natunas to keep an eye out for foreign vessels.
Such strong action is notable from Jakarta, which has long been aloof towards the territorial disputes between Beijing and most of its neighbours in the South China Sea. Indonesia is not a claimant in any South China Sea dispute with China. But the exclusive economic zone it says extends from the Natuna Islands overlaps with waters claimed by China as traditional fishing grounds.
Yan Yan, director of the Research Centre for Oceans Law and Policy at the Chinese government-backed National Institute for South China Sea Studies, said Indonesia had been taking increasingly tough measures to defend the waters off the Natuna Islands from other countries.
“China recognises Indonesia’s sovereignty in the Natuna Islands,” said Yan in an article for the institute. “The dispute is mainly about fishing rights, it should not be escalated to a political and territorial one.”
Indonesia's President Joko Widodo visits a military base in the Natuna Islands. Photo: AFP
Indonesia's President Joko Widodo visits a military base in the Natuna Islands. Photo: AFP
But since the spat this week, its officials have invoked the 2016 ruling by the Permanent Court of Arbitration in The Hague, which ruled that the nine-dash line marking Beijing’s territorial claims in the South China Sea had no basis in international law, as evidence of China’s overreaching maritime claims.
Its uncompromising attitude has made it just the latest nation in the region to push back against China’s maritime claims, prompting speculation that this could be the year the larger players in the Association of Southeast Asian Nations (Asean) finally push the bloc to get tough on the issue.
Over the next 12 months Vietnam, as the newly installed Asean chairman, is expected to use its position to push the bloc to finalise a Code of Conduct for the South China Sea. Hanoi has long been one of the region’s most vocal critics of China’s maritime ambitions and for months last year pushed back against the presence of a Chinese surveying vessel in oil- and gas-rich waters claimed by both countries.
Malaysia, too, has shown signs of defiance, last month submitting to the United Nations its claims for an extended continental shelf that directly overlapped China’s territorial claims.
“These recent incidents could catalyse Indonesia to put more effort into pushing for an Asean consensus towards China [and] the Code of Conduct,” said Collin Koh, research fellow at Singapore’s S Rajaratnam School of International Studies (RSIS).
Le Hong Hiep, a research fellow at the ISEAS-Yusof Ishak Institute in Singapore, said Beijing’s rejection of the 2016 ruling risked alienating its friends in the region and had provoked claimant states to challenge it.
“Beijing is facing a dilemma,” said Hiep. “If [the Chinese] want to assert their claims, they have to pretend the ruling had no effect on their status. But by doing so, they will anger other claimant states, which could tempt them to take stronger actions, including challenging their presence.”
Vietnam’s deputy foreign minister Nguyen Quoc Dung last month called on Beijing to show restraint and described China’s behaviour in the South China Sea – through which more than US$3 trillion in trade passes every year – as alarming and threatening to both Vietnam and other countries.
Chinese oil survey vessel Haiyang Dizhi 8 spent more than three months in Vietnam’s exclusive economic zone last year, in what Hanoi said was a violation of its sovereignty.
Malaysia released its first defence white paper late last year, naming both the US and China as sources of tension in the sea. Experts say that the submission of the extended continental shelf claims, which significantly conflict with China’s, shows Malaysia’s support for the 2016 Hague ruling.
Not everyone has been pushing back, however. In the Philippines, despite domestic pressure to take a tougher stance on China, President Rodrigo Duterte has said Manila had chosen to ignore the ruling – secured by his predecessor Benigno Acquino – to pursue joint oil exploration with Beijing.
But observers say Indonesia will not be as accommodating.
“Sure, we have good economic and financial ties with China, but the issue is perceived differently domestically in Indonesia,” said Evan Laksmana, a researcher at Jakarta’s Centre for Strategic and International Studies. “The government, political elites and society are all rallying behind taking a stronger stance. No one wants to be seen as trading economic goods for sovereign rights in the water.”
Beijing should be concerned about losing friends among Asean nations over its disregard for the tribunal ruling, said Hiep at ISEAS.
China’s assertive behaviour in the sea could mean Southeast Asian nations would be unwilling to come to its aid in the event of a confrontation with the US, said Hiep. “China has focused on flexing its muscles and forced other Asean claimant states to react strongly,” said Hiep.
“Beijing should refine its approach to advance its national interests while not losing the good friends and partners it has in the South China Sea region.”
Chinese naval forces take part in a military display in the South China Sea. Photo: Reuters
Chinese naval forces take part in a military display in the South China Sea. Photo: Reuters
The Code of Conduct for the South China Sea could be the best chance for Asean nations to short-circuit the spiral of escalatory behaviour and mistrust over the maritime disputes which had led to increased arms sales and fears of confrontation in the region, said Zhang Baohui, professor of political science at Lingnan University in Hong Kong. “If they can achieve a robust Code of Conduct, Asean nations can afford to trust other countries more,” said Zhang.
A draft negotiating text of the code was put forth in 2018, with the aim of agreement by 2022. Moving negotiations forward is widely expected to be a central focus of Vietnam’s Asean chairmanship this year.
Former Singapore foreign minister George Yeo said in a speech in Hanoi this month that “whether the code between Asean and China can be signed in Brunei [in 2021] depends a great deal on the progress made this year under Vietnam’s chairmanship”.
“Historically, the South China Sea has been the link between Southeast Asia and China,” said Yeo. “The sea connected us, it never divided us.”
But while they hoped for a multilateral solution, nations in Southeast Asia, especially those with claims in the South China Sea, were still hedging by building up their militaries, said Zhang.
One aspect under consideration in the code could forbid military operations as well as oil exploration in the area by outsiders without the unanimous consent of all Asean states plus China, which some observers say would effectively give China veto power over military activities and resource exploration in the waters.
This would mean other powers looking to establish an economic or military presence in the area – including the US, Japan and Australia – would need Beijing’s approval, hampering Washington’s efforts to counter China’s growing influence in the region.
Beijing has preferred a bilateral approach to resolving disagreements.
Since the 2016 ruling, China and the Philippines under Duterte have engaged in a bilateral consultation mechanism on the South China Sea. China also set up bilateral talks with Malaysia in September last year following tensions over their overlapping claims.
“China has shown it has a more tailored approach to individual Southeast Asian states, no single playbook or one-size-fits-all approach,” said Laksmana.
Ding Duo, assistant research fellow at the National Institute for South China Sea Studies, said the code could also keep disputes between Asean nations and China between the parties involved, rather than have them come under the purview of international institutions.
Asean leaders pose for a photo at the bloc’s 35th Summit. Photo: AFP
Asean leaders pose for a photo at the bloc’s 35th Summit. Photo: AFP
“One of China’s main goals in the region is to resolve the territorial and maritime disputes peacefully and properly through direct negotiation between parties,” said Ding.
The code could formalise this arrangement and keep disputes at the bilateral level.
“The whole idea of the code is meant to show that South China Sea disputes should be resolved and managed by Asia only, and outsiders are not welcome,” said Koh at RSIS. “The code is meant to showcase and propagate this narrative.”
Complicating matters is a maritime dispute between Indonesia and Vietnam, which flared up early last year when a Vietnamese fishing surveillance vessel rammed an Indonesian navy ship.
Indonesia’s former fisheries minister Susi Pudjiastuti had a policy of sinking boats found illegally within Indonesian waters, and more than half of the vessels destroyed under this policy belonged to the Vietnamese. Observers say the two are not likely to patch up the relationship any time soon.
Indonesia's former fisheries minister Susi Pudjiastuti: she blew minds, and boats. Photo: Reuters
Indonesia's former fisheries minister Susi Pudjiastuti: she blew minds, and boats. Photo: Reuters
Other neighbours may be ambivalent on the issue. Because Cambodia and Laos do not have claims in the South China Sea, they are seen as being unlikely to side against Beijing, especially because both receive substantial Chinese aid.
Analysts are hoping a repeat of the 2012 summit, the first time it failed to produce a communique, can be avoided. In a low point for Asean unity, Cambodia during its chairmanship that year sided with China to block a joint communique that would have addressed the bloc’s differing viewpoints on the South China Sea.
Each Asean nation has its own relationship with China, and even the situations of claimant states in the South China Sea vary widely.
Experts say Asean’s disunity will keep individual nations dealing with China on a bilateral basis – which could prevent the bloc from adopting a unified voice against China’s behaviour in the South China Sea, and make it difficult to get consensus on the Code of Conduct.
Beijing has historically been able to rely on Myanmar’s support. This week, Chinese President Xi Jinping visited Myanmar to mark 70 years of diplomatic ties and shore up economic cooperation.
“Myanmar is far from the South China Sea, Laos is landlocked, and Cambodia doesn’t see the South China Sea as important as Chinese economic aid and investments,” said Koh.
“These diverse interests and approaches make it hard to take a united stance – the idea of a unified Asean stance on South China Sea issues is more aspirational. That won’t stop other countries from pushing for consensus on some issues, but it’s a tall order.”
China has deepened its economic engagement with the region, becoming the third-largest source of foreign direct investment last year. Experts also say Southeast Asian nations will not want to jeopardise the vital economic ties.
Zhang Baohui said: “Obviously Vietnam has a lot at stake, but that doesn’t apply to all the other Asean countries. If they join Vietnam on this issue, that would effectively mean changing their China policy, and, from their perspective, why should they? They value their good relations with China.”</t>
  </si>
  <si>
    <t>Formal identification of 80 topographical formations unlikely to impress the Association of Southeast Asian Nations, with which China is trying to agree a code of conduct for the disputed waterway
Naming of underwater features might also be in breach of international law, regional affairs expert says China’s naming of, and effectively claiming, 80 geographical features in the disputed South China Sea might be a breach of international law, and could trigger a backlash from its Southeast Asian neighbours, analysts have warned.
Over the weekend, Beijing gave names to 25 islands, shoals and reefs, and 55 undersea mountains and ridges. The last time it made such a move was in 1983, when it identified 287 features in the region where several nations hold competing territorial claims.
While it is perfectly acceptable for countries and marine scientists to give names to geographical features, the UN Convention on the Law of the Sea states that nations cannot claim sovereignty over an underwater feature unless it is within 12 nautical miles of a land feature.
The 80 topographical formations identified by Beijing over the weekend comprised 10 sandbars and two small reefs in the Paracel Island chain that were previously unnamed, 13 smaller reefs, described as “features”, around West Reef, which is currently occupied by Vietnam, and 55 underwater features spread across the South China Sea.
The UN Convention on the Law of the Sea states that nations cannot claim sovereignty over an underwater feature unless it is within 12 nautical miles of a land feature. Photo: EPA-EFE
The UN Convention on the Law of the Sea states that nations cannot claim sovereignty over an underwater feature unless it is within 12 nautical miles of a land feature. Photo: EPA-EFE
Gregory Poling, director of the Washington-based Asia Maritime Transparency Initiative – a platform for information about maritime security issues across Asia – said Beijing’s move to name the South China Sea features was unusual and possibly in breach of international law.
“It’s unclear why China decided to give 13 points around the edge of the [West] reef new names. There is no other reef in the South China Sea that it has treated that way,” he said.
“And features of the seabed are not open to claims of sovereignty under international law.”
Despite the rival views of Vietnam, the Philippines, Malaysia and others, Beijing has repeatedly asserted its claim to about 90 per cent of the sea, which is one of the world’s busiest trade routes and has huge geopolitical significance.
Over the past six years, it has sought to bolster that claim by creating several artificial islands and developing infrastructure for possible military use, much to the consternation of the international community.
Jay Batongbacal, an associate professor at the University of the Philippines College of Law and director of the university’s Institute for Maritime Affairs and Law of the Sea, said Beijing’s naming of the features was inconsistent with international law.
“The act of surveying and naming underwater features as part of a marine scientific research activity cannot be made the basis of any claim to any part of the marine environment or any of its resources,” he said.
But Yan Yan, director of the Research Centre of Oceans Law and Policy at the Chinese state-run National Institute for South China Sea Studies, defended Beijing’s move, saying it was merely exercising its sovereign right.
“That sovereignty is controversial does not mean rival claimants cannot do anything. Vietnam and Malaysia have been drilling oil in the disputed waters, for example,” he said.
“Beijing’s naming of geographical features is a very minor way to exercise sovereignty and sovereign rights. It would be a double standard to let Vietnam and Malaysia exert their rights but not China.”
Le Hong Hiep, an expert on Vietnamese affairs at the ISEAS-Yusof Ishak Institute in Singapore, said that Beijing’s naming of the features would do little to help smooth its relationship with the Association of Southeast Asian Nations (Asean).
“Such actions not only create tensions with Vietnam, Malaysia and the Philippines, but also cause Asean members to question China’s sincerity in negotiating a code of conduct for the South China Sea,” he said.
“The unilateral action will delay those negotiations, and also invite more interference from external powers, creating more tension in the region.”
Douglas Guilfoyle, an associate professor of international and security law at the University of New South Wales Canberra, agreed.
“It is a long-standing principle of international law in boundary dispute settlement that actions taken by a state to assert its claim to sovereignty over an area are of no legal significance if there is already an existing dispute with another state,” he said.
“This rule exists to discourage precisely the kind of behaviour which China has engaged in.”</t>
  </si>
  <si>
    <t>KUALA LUMPUR (REUTERS) - Chinese coast guard and navy ships intruded into Malaysian waters in the disputed South China Sea 89 times between 2016 and 2019, and often remained in the area even after being turned away by the Malaysian navy, the government said in a report on Tuesday (July 14).
The report comes amid escalating tension between the United States and China over Beijing's claims to most of the resource-rich South China Sea, which is also a major trade route.
The Philippines, Brunei, Vietnam, Malaysia and Taiwan have their own claims that overlap in part with China's and, in some cases, with each other's.
Malaysia has sent six diplomatic protests to China over encroachment in its waters, including one in 2017 in response to a Chinese note asserting its claim to the South Luconia Shoals, a fishing ground off the Malaysian state of Sarawak, the National Audit Department said in the report.
Chinese coast guard and navy vessels trespassed in Malaysia's waters despite being turned away by its navy, it said.
"The reason for the... appearances was to assert China's presence with regards to its claims on the South China Sea, particularly in the area of the South Luconia Shoals," the department said.
China's foreign ministry did not immediately respond to a request for comment.
This year, a Chinese research ship spent a month surveying in Malaysia's exclusive economic zone, amid a standoff with a Malaysian oil exploration vessel near disputed waters.
On Monday, the United States rejected China's claims to offshore resources in most of the South China Sea, drawing criticism from China which said the US position raised tension in the region, highlighting an increasingly testy relationship.</t>
  </si>
  <si>
    <t>SINGAPORE -- Security challenges in the South China Sea are "always present," Vietnam's foreign minister said Wednesday as the country hosts a four-day series of virtual ministerial meetings of the Association of Southeast Asian Nations and its key partners including China and the U.S.
Speaking at an opening ceremony, Vietnamese Deputy Prime Minister and Foreign Minister Pham Binh Minh said that "factors threatening peace, stability, security, safety and freedom of navigation and aviation in the South China Sea" are among challenges the region faces, an apparent criticism against Beijing's increasing activities in the area.
The remarks came ahead of a series of online meetings as the U.S. and China engage in an intense maritime tug of war. The ASEAN Regional Forum is scheduled for Saturday, the final day.
"ASEAN will persistently hold onto its principled position, emphasizing self-restraints, peaceful settlement of all disputes on the basis of international law, including 1982 UNCLOS, promoting dialogues, strengthening confidence building, non-militarization and refrain from further complicating the situation," Minh stressed, referring to the United Nations Convention for the Law of the Sea.
The 10 nation group will persistently promote "the full and serious implementation of the [Declaration of Conduct]" and will "endeavor to formulate an effective, substantive [code of conduct]," he added. ASEAN and China has been negotiating over a code of conduct, which has yet to be concluded.
While the South China Sea is among top issues to be discussed at the meetings, regional responses to the COVID-19 pandemic have also emerged as a key agenda item.
Minh noted that the threat of the COVID-19 pandemic is still looming and that ASEAN will "proactively contain the pandemic through prevention measures, development of accessible vaccines and medications" and "undertake early and effective actions to support the people and businesses."
According to a draft joint communique of Wednesday's ASEAN foreign ministers meeting seen by the Nikkei Asian Review, all the ASEAN members are exploring international collaboration in coronavirus vaccines.
They called for "enhanced collaboration and sharing of experience with ASEAN's partners in research, development, production, and distribution of vaccines, providing access to medicines for COVID-19 and other diseases in future public health emergencies, and making them available and affordable to all as global public goods," the draft communique says.
Some ASEAN members have already started exploring how to secure vaccine supplies. The Philippines said last month that it would begin clinical trials of a Russian-developed COVID-19 vaccine, while an Indonesian state-owned company has agreed to import vaccines from a Chinese biotech company.
The coronavirus has hit Southeast Asian nations hard, with April-June quarter GDP falling more than 10% from a year ago in Malaysia, the Philippines, Singapore and Thailand. Vietnam, which secured a marginal expansion of 0.4% in the second quarter, recently halved its full-year growth projections to a range of 2% to 2.5%.
While countries are starting to emerge from the strictest of their imposed restrictions, coronavirus vaccines would be crucial for achieving substantial economic recovery.
The joint statement also noted that members encouraged "the maintenance of necessary interconnectedness in the region" by facilitating to the extent possible the essential movement of people, including business travel.
As a part of regional economic integration, ASEAN had been promoting movement of people within the bloc, including that involving labor and business as well as holiday travel. But currently most countries continue to close their borders.
Singapore and Malaysia last month set up two bilateral "green lane" programs, but such intra-regional frameworks have yet to be seen in the rest of the region as some countries including Indonesia and the Philippines continue to report more than 1,000 new cases of infection a day.</t>
  </si>
  <si>
    <t>PHNOM PENH -- Meeting with U.S. diplomats in 2007, Lee Kuan Yew, Singapore's founding prime minister, offered a blunt assessment of some of the newer ASEAN members.
Laos was just an "outpost for China" and Cambodia's politics was "too personalized" around the country's longtime Prime Minister Hun Sen, the late Singaporean statesman said.
ASEAN, formed in 1967 as a Cold War bulwark against the spread of communism in Asia, should not have rushed to expand beyond its five founding members in the 1990s, Lee said, according to U.S. diplomatic cables released by WikiLeaks.
Those five were: Indonesia, Malaysia, the Philippines, Singapore, and Thailand.
While newer entrants "muddied" ASEAN values, the rise of China was becoming a fundamental issue, Lee argued. Beijing would present its rise as inevitable, advertise the benefits of sharing its growth and force countries to choose to be "friend or foe."
As the 37th ASEAN Summit gets underway, many of the weaknesses identified by Lee 13 years ago have proved Singapore's founder to be prescient. As China's ambitions in the region continue to grow in line with Lee's prognostication, ASEAN tensions have only increased.
Late last month, another prominent Singaporean, retired senior diplomat Bilahari Kausikan, provoked a furious response from Cambodian officials by suggesting the country and Laos could be booted from ASEAN for ceding influence to a foreign power, a thinly veiled reference to China.
Laos and Cambodia rely on Beijing as their most important benefactor and have been seen as acting as Chinese proxies.
Cambodia in 2012 took unprecedented action against its fellow ASEAN members by scuttling a joint statement that conflicted with Beijing's position on the contested South China Sea, where several of its Southeast Asian neighbors are claimants.
According to Kausikan, the retired Singaporean diplomat, Laos had shown a willingness to be slightly more flexible on the matter, while Cambodia's Hun Sen, who has reigned over the country since 1985, showed no regard for regional interest.
Should the country continue to cross the "red line" of 2012, it could force its ASEAN counterparts to make a "very difficult decision," Kausikan said. The over-the-top reaction to his comments from Cambodian officials, meanwhile, is best understood as a hint of a "guilty conscience" on their behalf, he posited.
"If you want to be part of a regional organization," Kausikan said, "you can't be entirely selfish. The patience of other members is not unlimited, and given the many challenges ASEAN is facing, if a limb becomes gangrenous, amputation may be the only option to save life."
Still, as frustrating as Cambodia's actions have been to its regional partners, expelling members from the bloc remains infeasible.
Mark Beeson, a professor of international politics at the University of Western Australia with a focus on Southeast Asia, called Kausikan's comments "overdue." Reliant on consensus to take diplomatic stands, ASEAN is now "hopelessly compromised" and "ineffective," he said.
"China is the proverbial threat or opportunity," Beeson said, "and ASEAN has never been able to make up its mind which it is ... and it doesn't want to be forced into making a choice on anything.
"The fact that Cambodia's in China's pocket now is just a real problem for the organization."
Still, ASEAN remains an important player in regional diplomacy, said Carl Thayer, emeritus professor at the University of New South Wales and an expert on Southeast Asia's security situation.
"It's not an independent power that can predetermine every result," he said, "but it's something that can manage and steer at least in the right direction."
Thayer said the frustrations that "one country can block ASEAN from moving forward" has added to a blocwide "malaise" that is now compounded by the COVID-19 economic slowdown.
In his recent book, "In the Dragon's Shadow: Southeast Asia in the Chinese Century," author and journalist Sebastian Strangio notes ASEAN's key place in the region's diplomatic architecture but points out Chinese power has uncovered the group's shortcomings.
The bloc attempted to bind the "Chinese Gulliver" with "a thousand multilateral threads," while Beijing "thrust economic wedges of inducement" into rifts between members, Strangio wrote.
Speaking to Nikkei Asia, Strangio said that short of a China-U.S. conflict, the status quo is unlikely to change quickly.
"Things would have to get to a pretty extreme situation before you could count on there being a consensus over expulsion for any member state," Strangio said.
Huong Le Thu, a senior analyst at the Australian Strategic Policy Institute, agrees. The so-called "ASEAN Minus X" formula -- already used in economic affairs -- should be extended, she said.
The ASEAN Minus X formula, she explained, was like 'minilateralism' -- a way to work in smaller groups that only concern a small number of ASEAN member-states.
"There will be a lot of resistance towards seriously implementing ASEAN Minus on broader issues, and this has been a recurring problem," she said. "But given the chronic limitation within the ASEAN, it's certainly worth debating and thinking creatively how to make ASEAN more functional and relevant."
Kausikan says this debate has already begun. He noted ASEAN statements on the South China Sea in recent years have shifted from emphasizing consensus to expressing the majority view held by powerhouses such as Singapore, Indonesia, Vietnam, Malaysia and the Philippines, thus downplaying Laos and Cambodia's dissent.
"It is a small sign that members, while adhering to the principle of consensus, are beginning to redefine consensus so as not to let one or two members have a veto," Kausikan said. "Cambodia, in particular, should take note of this."</t>
  </si>
  <si>
    <t xml:space="preserve">Chinese Premier Li Keqiang said Thursday that ASEAN has become China's largest trading partner as he attended the 23rd China-ASEAN (10+1) leaders' meeting via video link. 
In the face of the sudden onslaught of the COVID-19 pandemic, China and ASEAN have worked together to strengthen cooperation in combating the virus, share experiences, take the lead in opening up fast-track and green channels, and promote the resumption of economic growth, Li noted. 
Against the backdrop of shrinking world trade, economic recession and serious impacts on people-to-people exchanges, China-ASEAN trade grew against the trend in the first three quarters of 2020.
According to Li, in the first three quarters, China-ASEAN trade reached $481.81 billion, up by 5 percent year-on-year, making ASEAN China's largest trading partner. 
China's industry-wide foreign direct investment in ASEAN topped $10.72 billion, jumping 76.6 percent year on year, he added. 
By the end of 2019, ASEAN was China's second-largest trading partner with more than $641 billion in trade volume during the year, only after the EU. 
Joint efforts
"Among ASEAN's dialogue partners, China has been number one on many fronts," Li pointed out. 
He added that China was the first to join the Treaty of Amity and Cooperation in Southeast Asia, the first to forge a strategic partnership with ASEAN, the first to start FTA negotiations with ASEAN, and the first to give unequivocal support for ASEAN centrality in East Asian regional cooperation.  
The premier said that China-ASEAN cooperation has maintained its momentum and played an important role in regional peace and stability, development and prosperity, which is inseparable from our joint efforts. 
He concluded that:
-- China and ASEAN are committed to good-neighborliness and friendship and to the path of unity and development. Whether faced with two financial crises, major natural disasters such as SARS or the tsunami, or the impact of this year's pandemic, the two sides have been able to stand by each other and overcome the difficulties together. 
-- China and ASEAN adhere to mutually beneficial cooperation and take the road of common development. China-ASEAN cooperation is mutually beneficial, open and inclusive. We regard each other's development as an important opportunity, dovetail development plans, strengthen connectivity and advocate multilateralism and free trade, thus not only realizing our own development, but also injecting strong momentum into the stable development of the regional and global economy. 
-- China and ASEAN adhere to dialogue and consultation and pursue the path of peaceful development. Peace and stability are the prerequisites for development and prosperity. We are unanimous in advocating mutual respect, seeking common ground while reserving differences, and resolving differences and disputes through friendly consultations, thus creating a peaceful and stable regional environment. 
-- China and the ASEAN pursue path of coordinated development by putting people first. For us, the fundamental interests of the two billion people of China and ASEAN countries are always the top priority. In the face of COVID-19, we have cared deeply about life and livelihood, extended a helping hand to those most in need and made joint efforts to protect the life, security and health of all our peoples. We have also facilitated practical cooperation to safeguard and enhance peoples' well-being in light of their real needs.
Chinese Premier Li Keqiang delivers a speech at the 23rd China-ASEAN Summit via video link at the Great Hall of the People, Beijing, November 12, 2020. /Xinhua
What's next?
Saying joints efforts made by China and ASEAN will not only boost development on both sides but also facilitate economic recovery within the region and safeguard regional and global peace and stability, Li proposed that China and ASEAN should work together in the following areas:
-- China and ASEAN need to defeat COVID-19 together and upgrade public health cooperation. China is reaching out to several ASEAN countries on vaccine research and development (R&amp;D) and production cooperation, and will actively consider ASEAN countries' needs when our COVID vaccines are developed and deployed.
-- China and ASEAN need to focus on economic cooperation and trade and boost regional economic recovery. China actively supports ASEAN in adopting and implementing the Comprehensive Recovery Framework and steadily reopening the economy. We welcome the signing of the Regional Comprehensive Economic Partnership. We need to further implement our free trade agreement and the upgrading protocol, and promote trade and investment liberalization and facilitation in the region.
-- China and ASEAN need to create highlights in digital economy and foster new sources of growth for cooperation. The two sides need to leverage the opportunities of the Year of Digital Economy Cooperation to synergize digital development strategies and boost infrastructure development and transformation in this field. We need to intensify cooperation on innovation in e-commerce, smart city, big data, 5G and other areas, and promote joint R&amp;D, technological exchanges and human resources development.
-- China and ASEAN need to promote sustainable development and strengthen preparedness for risks. Pursuing sustainable economic and social development is our shared objective. The two sides also need to further enrich cooperation in other areas like social, cultural, security and defense.
Chinese Premier Li Keqiang delivers a speech at the 23rd China-ASEAN Summit via video link at the Great Hall of the People, Beijing, November 12, 2020. /Xinhua
Advance COC consultations
Li also called for advancing the consultations on the Code of Conduct (COC) in the South China Sea. He said the COC, as an upgraded version of the Declaration on the Conduct of Parties in the South China Sea, will be a more substantive, effective and operable document that provides further institutional safeguards for peace and stability in the South China Sea. 
Noting the situation in the South China Sea is stable on the whole, Li said it is attributable to the fact that China and ASEAN countries, bearing in mind the larger interests, have actively managed differences with the "dual-track" approach, deepened cooperation, fully and effectively implemented the DOC and steadily advanced the COC consultations. 
"The South China Sea is the shared home for countries in the region," the premier stressed, adding that China remains firmly committed and determined to conclude the COC consultations at an early date.  
"We call on all parties to overcome the impact of COVID-19, think creatively, and accelerate the consultations in a flexible and pragmatic way," he added. 
Li reiterated that China and the ASEAN countries have the wisdom and capability to properly manage the situation in the South China Sea and safeguard its peace and stability. 
He also said China will positively consider convening face-to-face consultations in China, as soon as the COVID-19 situation allows, to advance the second reading of the COC.  
"Safeguarding peace and stability in the South China Sea is the shared aspiration of countries in the region, and dialogue is the right way forward to resolve disputes," said Li.  </t>
  </si>
  <si>
    <t>HANOI/BEIJING -- China has moved to expand its influence in Southeast Asia as the U.S. remains absent from the diplomatic stage, touting the birth of a major economic bloc and promising priority access to coronavirus vaccines in the ASEAN summit.
Chinese Premier Li Keqiang on Thursday addressed the leaders of the Association of Southeast Asian Nations via monitors at the summit, calling the region China's largest trading partner.
"In the first three quarters, China-ASEAN trade reached 481.81 billion US dollars, up by five percent year-on-year, making ASEAN China's largest trading partner," Li said.
China "will actively consider ASEAN countries' needs when our COVID vaccines are developed and deployed," the premier said. Li reiterated Beijing's offer of economic support for coronavirus-hit nations as well.
Vietnam, this year's chair of the meeting, and Japan have expressed concerns about China's rise. But the absence of the U.S., which has been consumed with the aftermath of the presidential election, has shifted the diplomatic landscape to Beijing's advantage.
A day before the ASEAN opened its summit, 15 nations participating in the Regional Comprehensive Economic Partnership reached an agreement Wednesday to sign the long-awaited trade deal.
An RCEP without rival India marks a major win for China, which has been pushing for a quick launch of the pact to take the lead in trade in the region. The free trade bloc, which also includes Japan, South Korea, Australia, New Zealand and the 10 ASEAN members, accounts for 30% of global GDP.
Japan was reluctant to sign on to the RCEP deal amid China-U.S. trade tensions under President Donald Trump, but the loss of Trump in the election nudged Japan forward.
"That Trump's loss in the presidential race has become decisive has also pushed [the RCEP] toward a signing," said a source close to the Japanese government.
Meanwhile, the U.S. will likely be a no-show at Saturday's ASEAN leaders' summit. As of Friday, there had been no announcement of which U.S. official will attend.
China is expected to press for concessions from multiple Southeast Asian nations engulfed in territorial disputes with China in the South China Sea.
Li on Thursday called on ASEAN leaders to accelerate discussions on the Code of Conduct that would govern the South China Sea.
"By so doing, we will demonstrate to the international community that we have the wisdom and capability to properly manage the situation in the South China Sea and safeguard its peace and stability," Li told the ASEAN leaders.
This followed China releasing draft legislation on Nov. 4 that would authorize the Chinese coast guard to fire on foreign vessels as a means of protecting artificial islands in the South China Sea.
Vietnamese Prime Minister Nguyen Xuan Phuc was the lone voice protesting China's move.
Differences concerning the South China Sea "are settled through peaceful means, where the law is fully respected and observed, and common values are upheld," Phuc said at the summit.
India had initially been receptive to opening up the market for investments through RCEP, but balked over cutting or eliminating tariffs, concluding its domestic products would be threatened under the pact.
India's exit was a major blow to Japan. With the U.S. not being party to the bloc, China could wield its 2nd largest economy to take the leading role.
India would have served as a counterweight to China in light of the territorial tensions between the two countries. But Japan's attempt to bring back India ultimately failed.
The RCEP, which does not require the high level of tariff cuts demanded under other trade agreements, is a good stage for China to expand its commercial reach.
Trump has been less than enthusiastic about Asian diplomacy. Biden, on the other hand, expressed agreement with a free and open Indo-Pacific during a Thursday telephone conversation with Japanese Prime Minister Yoshihide Suga.
Given this, China is likely to step up its engagement efforts in the region before the next U.S. president returns.</t>
  </si>
  <si>
    <t>SHANGHAI -- China is backing the Association of Southeast Asian Nations' efforts to solve the Myanmar crisis and shoring up ties with its neighbors, in a diplomatic blitz framed by state media as "very easy" pushback against U.S. pressure.
Foreign Minister Wang Yi hosted Indonesian counterpart Retno Marsudi on Friday and was due to meet the Philippines' Teodoro Locsin the same day, after successive meetings with Singapore's Vivian Balakrishnan on Wednesday and Malaysia's Hishammuddin Hussein on Thursday.
Wang this week declared Beijing's support for a special ASEAN leaders summit on the bloc's violence-plagued member Myanmar -- an idea pushed by Indonesia, Malaysia and Singapore.
"China firmly supports ASEAN-led efforts to promote peace talks and supports a timely holding of a special leaders meeting to mediate [in Myanmar]," state broadcaster CCTV reported Wang saying on Thursday.
Wang's statement came in conjunction with his meeting with Hishammuddin in Fujian, a southern province. In a news conference, the Malaysian foreign minister said his government believes "China can work together with ASEAN to play a significant and constructive role ... to restore democracy" in Myanmar following the Feb. 1 military coup.
On the eve of his visit, Hishammuddin had spoken on the phone with U.S. Secretary of State Antony Blinken -- a call he described as "great." He appeared just as enthusiastic about Malaysia's relationship with China.
"You will always be my elder brother," he told Wang, who agreed, "We are brothers."
China's diplomacy has kicked into overdrive since the tense meeting with U.S. Secretary of State Antony Blinken and other American officials in Alaska.   © Reuters
Malaysia and China established a High-Level Committee on Post-COVID-19 Cooperation, which Hishammuddin explained would "provide policy guidance for all aspects" of relations. This is to include trade and investment, food security, science and technology, travel arrangements, and projects under the Belt and Road Initiative.
On the trade front, Beijing agreed to allow imports of Malaysian red palm oil, which had failed to meet China's color specification standards. This is seen as a win for Malaysia, whose struggling economy relies heavily on the commodity.
China, meanwhile, gains a firmer foothold in Malaysia's pharmaceutical market, with a plan to bottle COVID-19 vaccines in the Southeast Asian country, according to a statement on the meeting by the Chinese Embassy in Malaysia. This will make Malaysia the second Chinese vaccine production base in the region, after Indonesia, and follows a deal China sealed last week to make millions of Sinopharm vaccine doses in the United Arab Emirates.
The deals suggest growing acceptance of Chinese vaccines, which have yet to penetrate developed countries like the U.S. and Australia. China and Malaysia also agreed in principle on mutual recognition of "vaccine passports" -- envisioned digital health certificates that would facilitate travel.
Wang's meeting with Hishammuddin is part of a Chinese diplomatic offensive since the tense encounter with Blinken in Alaska last month.
Wang received Russian Foreign Minister Sergey Lavrov on March 23 before flying off to tour six Middle Eastern countries last week, while his colleague Defense Minister Wei Fenghe visited four Eastern European states. On Wednesday, Wang "exchanged views on regional and international developments" with Singapore's Balakrishnan, according to the city-state's Foreign Ministry.
In an editorial on Thursday, the Chinese Communist Party-affiliated tabloid Global Times said China was overcoming U.S. attempts at "encirclement."
"The only thing that we can probably say is that it is actually very easy to break the so-called U.S. encirclement, or in other words, building circles around China is a false proposition put forward by those who think too highly about themselves," the Global Times wrote.
U.S. President Joe Biden's administration is actively renewing alliances in Europe and Asia, while taking Beijing to task over alleged human rights abuses involving Uyghur Muslims and other ethnic minorities.
And the U.S., Japan, India and Australia have made their Quadrilateral Security Dialogue, or Quad, a centerpiece of cooperation to counter China's maritime ambitions.
But Chinese President Xi Jinping's government appears eager to show it is far from isolated.
Indonesian Foreign Minister Marsudi tweeted on Friday that she had "frank and very productive" talks with Wang "on regional geopolitical developments (Myanmar and Indo-Pacific), as well as vaccine cooperation." Her delegation included Trade Minister Muhammad Lutfi and Minister of State-Owned Enterprises Erick Thohir, reflecting China's potential role in Jakarta's economic revitalization drive.
In a virtual news conference, Marsudi said the discussions positioned Indonesia a "vaccine hub" in Southeast Asia. "This idea is still in its early stages, but what we are proposing includes cooperation to strengthen vaccine development research, develop the raw material industry and increase the national vaccine production capacity," she said.
For his part, Lutfi revealed that the two countries had set a new target of tripling bilateral trade to $100 billion in the next three years. The archipelago's minister of SOE Thohir also confirmed that a Chinese consortium including Contemporary Amperex Technology, or CATL, will invest $5 billion in an Indonesian batteries venture aiming to power electric vehicles.
Today, I had a tete a tete meeting with State Councilor/FM Wang Yi of China in Wu Yi, Fujian Province. Our third meeting in person since the beginning of the pandemic 🇮🇩🇨🇳 pic.twitter.com/97DGhGAepw
— Menteri Luar Negeri Republik Indonesia (@Menlu_RI) April 2, 2021
Philippine Foreign Secretary Locsin's meeting with Wang will be overshadowed by the recent intrusion of Chinese maritime "militia" vessels in disputed South China Sea waters. But China's foreign ministry spokeswoman downplayed the dispute on Thursday, saying it was "completely normal for Chinese fishing ships to take shelter" at a reef in the area.
The spokeswoman also put the diplomatic outreach to Manila in the context of tense relations with unnamed powers. "Some forces never miss any chance in their attempt to drive a wedge between China and the Philippines," she said. "We are sure the Philippines can tell facts from fallacy and won't fall for their tricks."
Like the meeting with Russia's Lavrov in Guizhou in southern China, Wang's talks with ASEAN ministers in Fujian are all being conducted away from the capital, as the government seeks to showcase the economic development of rural provinces.
The same will be true of yet another meeting on Saturday, when the foreign minister hosts South Korean counterpart Chung Eui-yong in the Fujian city of Xiamen.</t>
  </si>
  <si>
    <t>While Southeast Asian nations have maintained a studied neutrality as Beijing and Washington clash over issues such as the South China Sea, experts say some alignment has already happened
But as the interests of China and the US diverge, the window of opportunity to not officially take a side is narrowing “Don’t force us to choose” has been a common refrain in Southeast Asia as Washington and Beijing clash over trade, technology and the South China Sea. But to political science professor Khong Yuen Foong, the 10 member states of the Association of Southeast Asian Nations (Asean) have already largely aligned themselves with either China or the United States.
Khong, vice dean for research and development at Singapore’s Lee Kuan Yew School of Public Policy, said at a recent webinar that Cambodia and Laos were clearly closer to China, having developed stronger political and economic ties with Beijing in recent years.
Vietnam and Singapore, on the other hand, had found “greater strategic comfort with the US”, he said, adding that countries such as Thailand, the Philippines and Malaysia had moved away from the US in recent years to become more embedded in the Chinese orbit.
Possibly the most neutral country, in Khong’s view, was Indonesia, which was “smack in the middle”.
“When these Asean countries say they do not want to choose, they are saying they do not want to move too far away from their current positions because they are comfortable with them,” he said. “Yet it is important to note that these positions are not cast in stone. They will shift over time, and in that sense, the political strategic alignments of the majority [of nations] in Southeast Asia are up for grabs.”
These positions, experts say, include a strategy of public hedging to keep their options open, as the countries’ economic and geopolitical considerations may vary.
China’s Premier Li Keqiang addresses Asean leaders in November 2020. Photo: AFP
China’s Premier Li Keqiang addresses Asean leaders in November 2020. Photo: AFP
Mark N. Katz, a government and politics professor at George Mason University in the US, said Southeast Asian states seeking close relations with China would not want to cut ties with the US either.
“Their friendlier ties to China may be their way of pressuring the US to either stop criticising them so much on human rights and democracy, or to get Washington to be more solicitous towards them,” Katz said.
Claiming not to take sides allows Asian countries to “have their cake and eat it too”, according to National University of Singapore political-science professor Chong Ja Ian, referring to the continuity of China’s economic opportunities and the strategic stability and predictability ensured by the US military presence in the region.
Recent tensions in the South China Sea, however, have forced some countries to reconsider their positions.
Beijing has in recent weeks lined up Chinese vessels at the Whitsun Reef, which it claims despite the reef’s position within Manila’s exclusive economic zone. The Philippines says the vessels are maritime militia, and is facing domestic pressure to defend its sovereignty and protect its marine resources, but Beijing claims they are fishing boats taking shelter. China has also deployed aircraft carriers in the East and South China Seas.
Meanwhile, the US-China rivalry went up a notch last month when Washington and its allies such as Britain, Canada and the European Union imposed sanctions on Chinese officials accused of human rights abuses in Xinjiang. Beijing retaliated with sanctions on European lawmakers and institutions.
In the US Department of State’s 2020 human rights report, released on March 30, Washington for the first time classified Beijing’s actions in Xinjiang as “genocide and crimes against humanity”. On Tuesday, Washington said it was considering a joint boycott of the 2022 Beijing Winter Olympics, in coordination with its allies, amid calls from lawmakers and advocacy groups to back away from the games due to human rights violations in China.
Philippines sounds alarm over 200 Chinese ships in the South China Sea
The Philippines and even Malaysia, which have both built closer ties with China in recent years, would have hoped Beijing would have been more accommodating to them over the South China Sea dispute, George Mason University’s Katz said. “This hope having clearly proved unfounded, I actually see both moving more towards the US.”
Since Philippine President Rodrigo Duterte took power in 2016, he has chosen Chinese economic largesse by downplaying Manila’s arbitral victory that same year, when an international tribunal at The Hague rejected China’s “nine-dash line” claim to sovereignty over nearly the entire South China Sea. Though the Philippines is a strong security ally of the US, it is heavily reliant on Chinese Covid-19 vaccines.
Duterte’s position is a far cry from the preceding administration of Benigno Aquino III, who not only initiated the landmark arbitration case in 2013 but two years later also made a veiled comparison between China’s activities in the South China Sea and Nazi Germany’s expansionism before World War II.
Malaysia, which was friendly towards China during Najib Razak’s prime ministership from 2009 to 2018, found itself pulling back once he was ousted from power. The proposed East Coast Rail Link – part of China’s Belt and Road Initiative – agreed between Beijing and the Najib administration was scuttled, but was later revived under new terms and conditions.
On Laos and Cambodia, Katz said aligning with Beijing was less about the US-China rivalry and more to do with those countries’ continued fear of Vietnam, coupled with their realisation that Washington was unlikely to help them since it now was on relatively good terms with Hanoi. 
Cambodia for centuries had a fraught relationship with Vietnam over the latter’s attempts to colonise it. In 1978, Vietnam’s invasion and decade-long occupation of Cambodia on the pretext of removing the murderous Khmer Rouge regime also left bitter memories among many Cambodians. Due to its dominance during the 19th century, Vietnam regards both Cambodia and Laos as vassal states.
US Navy vessels in the South China Sea in July 2020. Photo: AP
US Navy vessels in the South China Sea in July 2020. Photo: AP
“Small states like Laos and Cambodia are more concerned about their immediate neighbours than global geopolitics, but are willing to exploit a great power’s geopolitical concerns to get its help against their neighbour,” Katz said.
Kashish Parpiani, a strategic studies fellow at the Observer Research Foundation, a Delhi-based think tank, said even if countries such as Thailand and the Philippines forged closer ties with China, they would be keen to maintain their long-standing security ties with the US.
Thailand is a major non-Nato ally of the US – a designation given by Washington to countries that are not in the North Atlantic Treaty Organisation but have strategic working relationships with the US Armed Forces.
Manila, in particular, had become aware that unwinding its security ties with the US carried “the risk of only emboldening China”, Parpiani said. He added that the Philippines had in recent weeks reversed its decision to terminate the Visiting Forces Agreement, a 1998 agreement between Manila and Washington that provides the legal framework under which US forces can operate on a rotational basis in the country.
Speaking in his personal capacity, Paul J. Smith, a professor at the US Naval War College, said even though Vietnam shared a common interest with the US in balancing Chinese influence in the region, there were limits to how close both countries could get.
“At some point, the US will issue a report [on Vietnam’s] human rights or legal system that will rub Hanoi the wrong way, and then the ‘chill’ will be back in the relationship,” he said. “Vietnam doesn’t want to cut itself off completely from some of the fruits of the Chinese economy, so it will hedge.”
Explained: the history of China’s territorial disputes
Analysts said it was possible that the window of opportunity for not taking sides was narrowing for Asian countries.
In the past, when there was greater convergence in US-China interests, countries “could find a spot somewhere in the overlapping policy space”, said Chong from the National University of Singapore.
“As Washington and Beijing diverge on their interests, this policy space shrinks and actions previously deemed acceptable and as ‘not choosing sides’ may now find a less hospitable environment,” he said. “At some point, some states may find it less costly and less risky to pick a side.”
Parpiani of the Observer Research Foundation said much would depend on whether US President Joe Biden’s administration continued confronting Beijing on multiple fronts. Among other things, the US is looking to further restrict sensitive technology exports to China and invest in innovation to reduce its dependence on Chinese tech.
Pointing to how the Trump administration had set up the Clean Network, comprising more than 60 countries, to establish common standards in digital governance, Parpiani said such initiatives guiding the acquisition and use of technology and services from China had begun to gradually force countries to pick sides.
“It now remains to be seen if Biden continues that push under his stated policy of rebuilding US alliances and confronting China with the cumulative strength of multilateralism,” he said.
Rohan Mukherjee, an assistant political science professor at Yale-NUS College in Singapore, said the main factor that might cause changes in alignments would be Beijing’s own behaviour in the region.
He added that countries currently trying to take a middle path were not guaranteed to pick the US if compelled. “Many countries in Southeast Asia would rather learn to live with Chinese hegemony than increase the likelihood of great-power conflict by expanding the US alliance system in their backyard.”</t>
  </si>
  <si>
    <t>Resumed negotiations lead to progress after talks on the long-awaited code were stalled by the Covid-19 pandemic
China’s Foreign Minister Wang Yi warns his Asean counterparts against US interference in the contested waterway China and the Asean nations have agreed on part of the text of the long-waited code of conduct for the South China Sea, Chinese Foreign Minister Wang Yi said in an address in which he described the US as “the biggest troublemaker” in the disputed waterway.
During a virtual summit with his counterparts from the 10-member Association of Southeast Asian Nations on Tuesday, Wang also warned against “external interference” in the South China Sea, in a pointed rebuke to the US. Up to a third of world trade passes through the contentious waters, which are subject to a number of competing claims.
The resumed negotiations on the code of conduct – including agreement on its preface – “demonstrated once again that as long as the common political will to move forward with consultations is maintained, no difficulty can stand in our way, whether it be a raging epidemic or external interference,” Wang said, according to a Chinese foreign ministry readout.
Wang said Beijing would never make further claims in the South China Sea and promised that China would not take any unilateral moves to intensify disputes over the waterway.
“At the same time, we must be vigilant that individual extra-regional countries are openly intervening in territorial and maritime disputes in the region, sowing discord between China and Asean countries, sending a large number of advanced ships and aircraft to provoke around, and have become the biggest spoilers of peace and stability in the South China Sea,” he said.
Chinese Foreign Minister Wang Yi addresses his Asean counterparts via video link. Photo: Handout
Chinese Foreign Minister Wang Yi addresses his Asean counterparts via video link. Photo: Handout
“The South China Sea is not, and should not become, a gladiatorial arena for great power games, and we cannot allow them to undermine the good situation of peace and stability in the region.”
Wang said that as close neighbours, China was committed to stand with Asean countries in the fight against the Covid-19 pandemic and would continue to support Asean’s centrality. So far China has supplied more than 190 million doses of Covid-19 vaccines to the region.
Southeast Asia has emerged as an arena for the strategic competition between China and the US, with both sides stepping up their engagement with regional players.
The South China Sea dispute explained
Last week, US Defence Secretary Lloyd Austin became the first cabinet minister from the Joe Biden administration to visit the region. Later this month, vice-president Kamala Harris is expected to become Biden’s highest-ranking official to tour Asia, when she makes her first official visit to Singapore and Vietnam. She will also become the only US vice-president to visit Vietnam.
Harris’ office said her trip would “build on the Biden-Harris administration’s message to the world: America is back”. The visit is aimed at rallying international support to counter China’s growing global influence.
“We do not want to see any country dominate that region or take advantage of the power situation to compromise the sovereignty of others,” a senior White House official said. “The vice-president is going to underscore that there should be free passage for trade, throughout the South China Sea, and no single country should disrespect the right of others.”
On Tuesday, US Secretary of State Antony Blinken announced the launch of a “strategic dialogue” with Indonesia during his meeting in Washington with Retno Marsudi, the Indonesian foreign minister. The two countries also committed to work closely on the fight against Covid-19, as well as strengthening their trade and economic ties, and defending freedom of navigation in the South China Sea.
Blinken is also set to join five virtual summits with his Asean counterparts this week, when he is expected to raise concerns about China’s human rights record and “coercion” in the South China Sea, according to the US State Department.
Beijing has pushed hard for a quick conclusion of the code of conduct, which it said could regulate the activities of China and Asean members and avoid conflicts in the South China Sea.
The framework for a code of conduct was agreed in 2017, although the decision to keep the draft text private was criticised as an effort by Beijing to block the US from getting involved. Most of the resource-rich waterway is claimed by China, but this is contested by Asean members Vietnam, the Philippines, Brunei and Malaysia.
Diplomats from China and the Asean countries completed a first reading of the code’s draft negotiating text in July 2019, a move that Beijing touted as “major progress”. Since then, there has been no significant movement – mostly because of the pandemic, which made face-to-face talks more difficult.
The two sides held their first senior officials’ meeting since the outbreak to negotiate further progress on the code of conduct in June.</t>
  </si>
  <si>
    <t>NANNING, China -- Chinese officials have vowed to increase imports from Southeast Asian countries ahead of the opening of a new rail link to the bloc.
Addressing the 18th China-ASEAN Business and Investment Summit in the southern Chinese city of Nanning, Vice President Wang Qishan said that both partners need to foster new development drivers to accelerate economic recovery.
"We will treat ASEAN as a priority in China's neighborhood diplomacy," Wang told the gathering of diplomats, businesspersons and officials who tuned in via video link.
"China will import more distinctive products from ASEAN, expand mutual investment, deepen the industrial supply chain and promote Lancang-Mekong cooperation," he said, referring to an economic corridor with Indochina.
Chinese trade with the 10 members of the Association of Southeast Asian Nations grew 38% to $410.7 billion in the first six month of 2021 from a year before, with exports to the bloc rising to $225.8 billion and imports reaching $184.9 billion.
Southeast Asian vendors at the China-ASEAN expo were keen to attract interest in their products. (Photo by CK Tan)
Lao Prime Minister Phankham Viphavanh said on Friday that the country will open its first rail link with China on Dec. 2
The 426 km Laotian section of the line, funded by Beijing through the Belt and Road Initiative, runs from the capital Vientiane north to Boten on the Chinese border where it will connect onward to the city of Kunming.
To the south, the line is to later extend across the Mekong from Vientiane to Thailand, reaching through to Bangkok. Work recently began on the first phase of construction in Thailand, with completion scheduled for late 2026.
China has two rail links with Vietnam. Construction on a line between Kunming and Mandalay, Myanmar has been slowed by growing unrest in the Southeast Asian country.
"I would like to request China and our ASEAN friends to work with us to revitalize the economy of the region," said Myanmar Minister of Commerce Pwint San at the Nanning summit. "I would like to reiterate that we all need to work together to liberalize the non-tariff barriers on goods that are essential to facilitate and boost our trade."
Meanwhile, shipments along a transport corridor involving both land and sea routes between China and Southeast Asia, known as the Chongqing Connectivity Initiative, rose 30% last year, according to Singapore Deputy Prime Minister Heng Swee Keat.
The calls to boost trade come as concerns rise that growth in China, the region's economic engine, might be losing momentum.
Backed by strong demand from key trading partners amid delta variant COVID outbreaks, Chinese exports in August beat market expectations, rising 25.6% from a year before, up from 19.3% growth in July. Imports rose 33.1%, up from 28.1% in July.
Li-Gang Liu, chief China economist for Citigroup, said in a client note on Wednesday that "the strong export growth is unlikely to be repeated in the remainder of the year."
With developed economic reopening, Liu expects consumers to shift spending back to services from goods purchases, and said the strong yuan would undermine Chinese competitiveness.</t>
  </si>
  <si>
    <t>SINGAPORE/SHANGHAI -- Chinese President Xi Jinping on Monday made a rare appearance in a special online summit with leaders from the Association of Southeast Asian Nations, emphasizing Beijing's strong commitment to the bloc and promising to buy billions of dollars worth of ASEAN farm products.
The job of meeting with ASEAN counterparts typically falls to Chinese Premier Li Keqiang, the country's second-in-command. Xi's participation is seen as a signal of both his extended control over foreign affairs as well as China's ambition to play a more prominent regional role.
But Monday's summit, meant to commemorate the 30th anniversary of ASEAN-China dialogue, also highlighted persistent challenges, with Philippine President Rodrigo Duterte bringing up "grave concern" over the South China Sea.
"We need to practice true multilateralism and stick to the principle that international and regional affairs be handled through discussion among us all," Xi told ASEAN, according to a translated transcript released by state media. "China firmly opposes hegemonism and power politics."
On the contrary, he promised not to "bully" smaller nations and said "China pursues long-term, friendly coexistence with neighboring countries," vowing to "work toward a closer China-ASEAN community with a shared future."
The summit follows a series of major domestic and diplomatic developments for Xi.
Fresh off his first virtual meeting with U.S. President Joe Biden last week, Xi's position was enhanced by a "historical resolution" approved by the Chinese Communist Party. The resolution acknowledged the Xi-led CCP's leadership in driving diplomacy under a "complex international situation." It also highlighted China's "marked increase in international influence, appeal and power to shape" the world, and vowed to exert leadership further.
Xi's participation in the summit may be part of that effort.
"I think [the special summit] is one way of Xi Jinping showing that China is not isolated" despite seesawing relations with the rest of the world, including Southeast Asia, amid the pandemic, said Alan Chong, associate professor at Singapore's Nanyang Technological University. As Monday's meeting was confirmed days after the bilateral talks with Biden, Chong added that it is "also a signal to the U.S. that China is still diplomatically influential."
From ASEAN's perspective, more robust economic ties with China, including trade and travel, would help accelerate the recovery from COVID-19. Chong said the meeting was "one way of guaranteeing that China will be part of the economic recovery."
Xi highlighted that economic role in his remarks. "China has a vast domestic market that will always be open to ASEAN countries," he said. "China is ready to import more quality products from ASEAN countries, including buying up to $150 billion worth of agricultural products from ASEAN in the next five years."
He also pledged to donate another 150 million vaccine doses.
China is increasing its presence in international frameworks as well. In September it applied to join the Comprehensive and Progressive Trans-Pacific Partnership (CPTPP) free trade deal, which includes several ASEAN members. China already belongs to the soon-to-take-effect Regional Comprehensive Economic Partnership (RCEP), which includes all of them.
Yet, as ASEAN economies become more dependent on China in the post-COVID era, they may find Beijing more difficult to deal with. Xi's historical resolution pledged to "fight to the end" against any obstruction to China's rise, saying, "Constant concessions will only invite more bullying and humiliation."
Just days ago, Manila protested an incident in the South China Sea, in which the Chinese Coast Guard used water cannons to block Philippine vessels transporting food supplies to military personnel. On Monday, President Duterte said his country "abhors" the incident and views "with grave concern other similar developments."
"This does not speak well of the relations between our nations and our partnership," he said, according to a statement from his office. Duterte also called the waterway "a strategic challenge."
Chinese coast guard vessels in the South China Sea: An incident with the Philippines last week overshadowed ASEAN's special summit with China.   © Reuters
China's claims to much of the sea overlap with those of several Southeast Asian nations. Prime Minister Ismail Sabri Yaakob of Malaysia -- also a claimant -- urged all parties to "exercise self-restraint and avoid actions that may be deemed provocative, which could further complicate the situation and escalate tensions in the area."
Xi had little to say on the subject, noting only, "Joint efforts are needed to safeguard stability in the South China Sea and make it a sea of peace, friendship and cooperation."
As ASEAN leaders attempt to balance economic ties with China versus territorial interests, they find themselves performing another balancing act between two superpowers.
During Monday's summit, Singaporean Prime Minister Lee Hsien Loong said U.S.-China cooperation is a "key factor in regional peace and prosperity."
"Countries in the region want good relations with both U.S. and China, and do not wish to have to choose sides," he said. "We therefore welcome the recent high-level exchanges between China and the U.S., including the virtual meeting between President Xi Jinping and President Joseph Biden last week."
Ismail Sabri also called for Beijing and Washington to get along. "Although competition is inevitable, China-U.S. relations must primarily be defined by cooperation," he said. "All countries have a duty to cooperate and collectively promote peace, security, prosperity and progress."
Closer to home, ASEAN sees China as a key influence to help address the ongoing crisis in Myanmar after the military takeover in February. However, Monday's summit once again underscored the difficulty of making progress. According to Malaysian Foreign Minister Saifuddin Abdullah, Myanmar pulled out of the meeting at the eleventh hour.
Beijing had suggested that Myanmar's ambassador to China could represent the military regime. Saifuddin told reporters that the bloc had agreed to this "because ASEAN wanted to maintain the position of Myanmar in the grouping" and that it was the understanding "until late last night."
"However, no representation was made at the summit today. We don't know why," he said. "I look at it as an improvement because at least this time there was an understanding reached for a representation," Saifuddin added. At the ASEAN Summit in late October, the bloc took the unprecedented decision not to invite Myanmar's top military leader Min Aung Hlaing, and the country refused to send a nonpolitical representative in his place.
In any case, Saifuddin made a point of recognizing China's efforts to help break the impasse.</t>
  </si>
  <si>
    <t>BEIJING - Chinese President Xi Jinping has assured South-east Asian leaders that China does not seek hegemony and will not bully its smaller neighbours, even while tensions in the South China Sea have escalated.
At a special summit held virtually on Monday (Nov 22) between the top leaders of China and the Asean states to mark 30 years of dialogue relations, Mr Xi also pledged aid in terms of Covid-19 vaccines and funds to support the grouping's pandemic response.
The meeting comes after a skirmish in the South China Sea last week (Nov 16) that involved the Chinese Coast Guard blocking boats carrying supplies to the Philippine military in the disputed Spratly Islands, and firing a water cannon on the vessels.
The incident, which China says was an act of defence of its sovereignty, drew strong protest from the Philippine government and a warning from the United States that it would come to its ally's aid if an armed attack is launched.
Philippine President Rodrigo Duterte took the opportunity at the virtual summit to condemn the act. "We abhor the recent event in the Ayungin Shoal and view with grave concern other similar developments," he said, adding that the episode "does not speak well of the relations between our nations and our partnership".
It is not clear if Mr Xi responded to Mr Duterte's remarks, but he had cordial words for the Asean leaders and emphasised the bloc's high priority in China's regional relations.
"China was, is, and will always be Asean's good neighbour, good friend and good partner," he told the bloc's leaders through a video link, according to a readout released by state news agency Xinhua. 
China will "unswervingly" support Asean unity and centrality, as well as the grouping playing a bigger role in regional and international affairs, said the Chinese leader.
To maintain peace in the region, countries need to pursue dialogue instead of confrontation, he added.
"China will never seek hegemony, much less bully smaller countries."
The South-east Asian nations will receive 150 million doses of Covid-19 vaccines, and also an injection of US$5 million (S$6.8 million) into their joint Asean Response Fund, Mr Xi said.
China is also ready to offer Asean US$1.5 billion in development assistance in the next three years to support its fight against Covid-19 and speed up economic recovery.
It, too, will work with the Asean states to step up vaccine joint production, collaborate on the research and development of medicine, and help the South-east Asian countries build better capacity to respond to major public health emergencies.
As the leaders marked the milestone in relations on Monday, they also gave it an upgrade to a "comprehensive strategic partnership" status, which allows for deeper collaboration between the parties.
Singapore Prime Minister Lee Hsien Loong said Asean and China should look at how to progressively open up their borders to one another as vaccination rates improve across the region.
The leaders at the summit also discussed upgrading their free trade area, signed in 2002, and the roll-out of the bigger and newer trade pact, the Regional Comprehensive Economic Partnership (RCEP), which Malaysian Prime Minister Ismail Sabri Yaakob in a statement at the meeting said could help speed up regional recovery.
Signed in November 2020 and coming into force in January 2022, RCEP is a mega trade deal involving Asean's 10 member states and its five free trade agreement partners: China, Japan, South Korea, Australia and New Zealand.
China is Asean's largest trading partner, with bilateral trade reaching US$410.75 billion in the first half of this year alone, and accounting for almost 15 per cent of China's total foreign trade, said Beijing.
Mr Xi on Monday promised to buy up to US$150 billion worth of agricultural products from Asean in the next five years; China will also support an exchange programme for 300 young scientists from the region to visit over the same period.
Both sides issued a joint statement after the meeting, which, among other things, reaffirmed the principles of the Asean Outlook on the Indo-Pacific, the bloc's own Indo-Pacific vision.
China has all along been averse to this term, which reconceptualises the region and the East Asian giant's dominance in it.
The statement also reaffirmed the importance of upholding international law including the 1982 United Nations Convention on the Law of the Sea, and a commitment to the freedom of navigation in and flights over the South China Sea.
Glaringly missing from the high-level summit was Myanmar junta chief Min Aung Hlaing, as Asean leaders held firm on their consensus that the country send a non-political representative.
China had lobbied for the Myanmar general to attend, but Asean leaders objected. They first want to see progress on an agreement to let in an Asean special envoy into Myanmar to help mediate a peaceful solution to the violent military coup staged in February.
When asked about Myanmar's absence, Chinese Foreign Ministry spokesman Zhao Lijian would say only that the meeting was a success, thanks to the efforts of China, Myanmar, the Philippines and other countries.
Myanmar is an important member of the Asean family, and China supports Asean centrality and the five-point consensus agreement it struck with Myanmar, he said.
Myanmar is the coordinating country for Asean-China relations this year.
Chinese state media later reported that the Chinese ambassador in Myanmar had briefed the country's foreign minister on the summit.
It said the Foreign Minister, Mr Wunna Maung Lwin, remarked that Myanmar was "pleased with the success of the summit", and that it had made "due efforts for the outcome of the summit and will continue to play the role of a coordinating country".</t>
  </si>
  <si>
    <t>Which side has an advantage in trade, investment and broader relations with the region? Does China have the momentum in the way that it is engaging with Asean?
BY DANSON CHEONG and CHARISSA YONG | PUBLISHED: May 23, 2022
Singapore
Indonesia
Philippines
Cambodia
Brunei
Vietnam
Thailand
Myanmar
Laos
Malaysia
US
China
$0
$100b
$200b
$300b
Trade (US$)
Singapore
Indonesia
Philippines
Cambodia
Brunei
Vietnam
Thailand
Myanmar
Laos
Malaysia
US
China
$0
$100b
$200b
$300b
Trade (US$)
Singapore
Indonesia
Philippines
Cambodia
Brunei
Vietnam
Thailand
Myanmar
Laos
Malaysia
US
China
$0
$100b
$200b
$300b
Trade (US$)
US’ trade with S'pore is worth US$65.2b, which is about 70% of China's trade with S'pore, worth US$94.1b
Singapore
Indonesia
Philippines
Cambodia
Brunei
Vietnam
Thailand
Myanmar
Laos
Malaysia
US
China
$0
$100b
$200b
$300b
Trade (US$)
US’ trade with Indonesia is worth US$36.5b, which is about 30% of China's trade with Indonesia, worth US$124.4b
Singapore
Indonesia
Philippines
Cambodia
Brunei
Vietnam
Thailand
Myanmar
Laos
Malaysia
US
China
$0
$100b
$200b
$300b
Trade (US$)
China's trade with Malaysia is worth US$176.8b, while the US' trade with Malaysia is worth only US$71.4b
Singapore
Indonesia
Philippines
Cambodia
Brunei
Vietnam
Thailand
Myanmar
Laos
Malaysia
US
China
$0
$100b
$200b
$300b
Trade (US$)
Vietnam’s trade with China is worth US$230.2b, which is twice that of Vietnam’s trade with US , worth US$112.9b
Singapore
Indonesia
Philippines
Cambodia
Brunei
Vietnam
Thailand
Myanmar
Laos
Malaysia
Thailand’s trade with China is worth US$131.2b, which is twice that of Thailand’s trade with US , worth US$60.1b
US
China
$0
$100b
$200b
$300b
Trade (US$)
US
China
FDI (US$)
$0
$5b
$10b
$15b
Singapore
Indonesia
Philippines
Thailand
Malaysia
US’ investments in S’pore is valued at US$14.6b, which is 2½ times that of China’s investments in S’pore, valued at US$5.9b
China has sunk deep economic roots into South-east Asia. Last year, Asean-China trade totalled US$878.2 billion (S$1.2 trillion), more than 22 times the value of trade at the turn of the century. While the United States invests more in the region, Beijing’s economic links are far stronger. Trade data paints a picture of the state of play in the region.
Singapore is South-east Asia’s trade and economic hub, and the island nation has free trade agreements with both the US and China. Its free trade agreements have made it an attractive hub for US and Chinese firms expanding into the region.
Bilateral trade between Indonesia, Asean’s biggest economy, and China came up to US$124.4 billion in 2021, more than three times its trade with the US (US$36.5 billion). Beijing has been Jakarta’s largest trading partner since 2013.
Malaysia is one of the top 10 exporters of liquefied natural gas to China. Chinese customs data showed that Kuala Lumpur exported more than US$25 billion worth of mineral products to China in 2021. This includes fossil fuels such as natural gas and petroleum.
Vietnam’s two-way trade with the US is the highest among Asean nations at US$112.9 billion. Some US companies have moved manufacturing and supply chains from China to the country because of the US-China trade war and Covid-19 pandemic.
Durians are one of Thailand’s key exports to China - more than 875,000 tonnes were shipped in 2021. Thailand’s agricultural department says this generated US$3.4 billion, more than half the US$6.5 billion of Thai fruits and nuts imported by China last year.
The US is Asean’s top investor
It accounts for about a quarter of Asean’s total foreign direct investment (FDI) in 2020. But these investments are concentrated in a handful of Asean states, such as Singapore, Malaysia, Thailand and Indonesia. In Cambodia and Laos, FDI from China has constituted the largest source of investment for consecutive years.
The US and China are locked in a battle for influence over South-east Asia, home to more than 660 million people and the fifth-largest economy in the world.
But when it comes to economics and trade, America has some catching up to do.
Over the years, China has cultivated considerable economic links with Asean, which sits on its doorstep and covers key trade routes. China has leapfrogged Washington’s economic dominance in the region.
The gap between Chinese and US exports toAsean has been widening since 2016
For imports, the gap is smaller.
2016
2017
2018
2019
2020
2021
0
50B
100B
150B
200B
250B
300B
350B
400B
450B USD
2016
2017
2018
2019
2020
2021
0
50B
100B
150B
200B
250B
300B
350B
400B
450B USD
China
US
China
US
At the turn of this century, US’ trade with Asean stood at US$135 billion, more than three times China’s US$39.5 billion.
As at 2021, China’s trade with Asean amounted to US$878 billion, more than double US’ trade with the bloc at US$380 billion. This makes Beijing Asean’s largest trading partner - a status it has held for 12 consecutive years since 2009.
Read more
A race to the cloud in Asean
How deep is China’s trade foothold in the region?
In terms of goods, Beijing is the top trading partner of all Asean countries, except Laos and Brunei.
China’s massive market of 1.4 billion people is a sponge, soaking up imports from the region on everything ranging from liquefied natural gas to electronics.
Asean’s 660 million-strong market is a major destination for Chinese goods, particularly with a middle class that is projected to grow to make up two-thirds of the region’s population by 2030.
Dr Sarah Tong, senior research fellow at the National University of Singapore’s East Asian Institute, said Beijing has “considerably deepened” its economic ties with South-east Asia since the early 2000s.
Trade between Asean and China has more than doubled in the past decade and almost quadrupled since the Asean-China Trade in Goods Agreement came into force in 2005.
Asean countries’ top trading partners in 2020
Singapore
1. China
2. Malaysia
3. US
4. Taiwan
5. Hong Kong
14.1%
10.7%
10.6%
7.8%
7.1%
Thailand
1. China
2. Japan
3. US
4. Malaysia
5. Singapore
18.1%
11.5%
4.3%
3.9%
11.2%
Philippines
1. China
2. Japan
3. US
4. Hong Kong
5. South Korea
19.9%
12.0%
10.9%
7.6%
6.3%
Brunei
1. Singapore
2. Japan
3. China
4. Malaysia
5. Australia
18.1%
15.6%
14.6%
12.0%
5.3%
Vietnam
1. China
2. US
3. South Korea
4. Japan
5. Taiwan
24.5%
16.7%
12.2%
7.3%
3.9%
Indonesia
1. China
2. US
3. Japan
4. Singapore
5. Malaysia
23.4%
8.9%
8.0%
7.5%
4.9%
Cambodia
1. China
2. US
3. Singapore
4. Thailand
5. Vietnam
22.4%
15.4%
9.4%
9.3%
8.4%
Malaysia
1. China
2. Singapore
3. US
4. Japan
5. Taiwan
18.5%
12.2%
6.9%
5.1%
10.0%
Myanmar
1. China
2. Thailand
3. Singapore
4. Japan
5. India
34.0%
14.0%
9.1%
5.2%
4.0%
Laos
1. Thailand
2. China
3. Vietnam
4. Japan
5. Australia
42.1%
27.3%
13.9%
2.6%
1.7%
Dr Tong said: “In recent years, as China faces growing domestic and external challenges to sustain future development, deepening economic relations with regional partners has become even more important.”
And South-east Asians themselves perceive China to be the economic giant in the region.
“China definitely has more momentum in the way that it is engaging with Asean,” said Dr William Choong, a senior fellow at the ISEAS - Yusof Ishak Institute, citing a survey published by his institute earlier this year where 76.7 per cent of respondents said China was the most influential economic power.
Which country/regional organisation is the most influential economic power in Southeast Asia?
China
US
Asean
Japan
European Union
Australia
Republic of Korea
UK
India
76.7%
9.8%
7.6%
Source:
​ ​
ISEAS 2022 Survey
“There is a perception that the Americans are lagging behind China, and I think that it’s a big gap to close.”
Where do America and China stand when it comes to investment?
Investment is where America has the advantage for now.
The US is Asean’s top investor, with its foreign direct investment (FDI) stock in Asean at US$328.5 billion in 2020. American firms invested US$35 billion into Asean in 2020, compared with China's US$7.7 billion that same year, according to the Asean Stats data portal.
America's direct investment in Asean is led by non-bank institutions that provide financial services. The US also invests heavily in manufacturing and wholesale trade in Asean.
China
US$7.7b
US
US$35b
US foreign direct investments in Asean dwarfed Chinese investments in 2020
Part of these trade and investment disparities arise from differences between the US and Chinese economies, said American Enterprise Institute (AEI) senior fellow Zack Cooper.
For instance, he said, exporting to South-east Asia can be difficult for many American sectors because of the long distances involved. US products in some categories are going to be expensive for Asean compared with Chinese goods.
Said Dr Cooper: “So much of the US economy is really built around finance and investing. I think it's natural for American investment to be a far larger portion of US activity in the region than it would be for China.”
Moreover, the investment gap between the US and China isn’t quite as wide if FDI figures from the mainland are combined with Hong Kong’s. In 2020, this amounted to about US$28 billion, according to figures from Beijing and the Hong Kong Trade Development Council.
And in some Asean member states such as Cambodia and Laos, FDI from China has constituted the largest source of investment for consecutive years, according to data from the Asean Investment Report last September by the Asean Secretariat and United Nations Conference on Trade and Development.
The same report noted that investment from China has been rising steadily, from an annual average of $6.9 billion in the 2011 to 2015 period, to an average of $11.5 billion per year from 2016 to 2020 - an increase of about 67 per cent.
Chinese investment in key sectors such as construction and IT services is growing rapidly, increasing by more than 250 per cent in 2020 from the year before to reach US$1.6 billion and US$656 million respectively, according to figures from Beijing.
Experts say this suggests China’s investments are targeted at what the region needs - towards infrastructure in developing nations, and IT services like data centres.
GDS Holdings, a developer and operator of high-performance data centres across China, announced in November 2021 that it has entered into a definitive agreement to acquire greenfield land in Nongsa Digital Park in Batam, Indonesia. PHOTO: NONGSA DIGITAL PARK
GDS Holdings, a developer and operator of high-performance data centres across China, announced in November 2021 that it has entered into a definitive agreement to acquire greenfield land in Nongsa Digital Park in Batam, Indonesia. PHOTO: NONGSA DIGITAL PARK
Storage facility inside US data centre operator Equinix’s fifth data centre in Singapore. PHOTO: EQUINIX
Storage facility inside US data centre operator Equinix’s fifth data centre in Singapore. PHOTO: EQUINIX
Under the Belt and Road Initiative, Beijing is building mega infrastructure projects, such as ports and high-speed railways, in Asean nations - something the US simply will not match.
Said AEI’s Dr Cooper: “There's a fundamental asymmetry here, which is that the US doesn't determine what its private sector does.
Unlike in China, where the government has more involvement in and leverage over Chinese businesses, America’s private sector is largely driven by assessments of expected returns on investment and risk profiles, he said. The most that any US administration can do is roll out incentives to encourage companies to invest somewhere.
A high-speed rail station under construction in Halim Perdanakusuma in Jakarta that is set to be completed by the end of 2022. PHOTOS: SCREENGRAB FROM GOOGLE EARTH
A high-speed rail station under construction in Halim Perdanakusuma in Jakarta that is set to be completed by the end of 2022. PHOTOS: SCREENGRAB FROM GOOGLE EARTH
Myanmar’s Kyaukphyu deep-sea tanker port is being constructed with funding from China as part of the Belt and Road Initiative.
Myanmar’s Kyaukphyu deep-sea tanker port is being constructed with funding from China as part of the Belt and Road Initiative.
“The US government is never going to be able to announce billions and billions of dollars in new US government-driven investment in South-east Asia, just because that's not how our system works. But that doesn't mean that every day, there aren’t hundreds of US companies looking to invest in the region,” said Dr Cooper.
Stimson Centre senior fellow Yun Sun, too, noted that China’s state-dominated approach to trade and investment is not a model that the US can offer.
“For avid South-east Asian observers, this might be a reality they have to reckon with. The US and China each have their own comparative advantage in economic engagement and broader relations with the region,” she said.
While China is focused on economics, the US has been more focused on security. Washington wants to change that.
The issue, as many analysts see it, is that Washington’s engagement of the Indo-Pacific region has been primarily focused on security, while Beijing is addressing bread-and-butter issues of trade and economics.
Under the Biden administration, Washington has strengthened partnerships to confront China, which includes the Five Eyes (Australia, Britain, Canada, New Zealand and the US) intelligence-sharing alliance, Quad (Quadrilateral Security Dialogue comprising Australia, India, Japan and the US) and trilateral Aukus (Australia-United Kingdom-US).
The US military also regularly conducts freedom of navigation operations in the South China Sea, and military exercises with countries including the Philippines.
Washington has grown increasingly worried about losing economic ground to China in South-east Asia, and successive US administrations have spoken about America’s desire to deepen its engagement with the region.
But America still lacks a multilateral trade strategy in the region, and there is little appetite in Washington for free trade deals today.
Experts say trade arrangements will continue to propel the growth of trade between Asean and China, while America’s lack of involvement in the region’s multilateral deals will get in the way of deepening its economic ties with Asean.
In January 2017, the US bowed out of the Trans-Pacific Partnership, which later became the Comprehensive and Progressive Agreement for Trans-Pacific Partnership (CPTPP).
In contrast, China is part of the Regional Comprehensive Economic Partnership (RCEP) which came into effect this year. Besides China, the trade pact includes 10 Asean states, Japan, South Korea, Australia and New Zealand - and it is estimated to boost global trade by almost US$500 billion annually by 2030.
Beijing has also formally applied to join the CPTPP, although it is unlikely to be granted access so soon.
Will the Indo-Pacific Economic Framework help the US to catch up?
The Biden administration is scheduled to launch its Indo-Pacific Economic Framework (IPEF) on May 23. But officials have been clear that this economic plan will not be a traditional free trade deal with market access, which is arguably at the top of South-east Asian wishlists.
Instead, IPEF will focus on four “pillars” of supply chain resilience, infrastructure and clean energy, anti-corruption, and fair and resilient trade, which includes the digital economy and labour standards.
“For most countries in South-east Asia, the Indo-Pacific Economic Framework will be seen as a poor consolation prize in place of what they really want: concrete market access commitments from the US,” said Hinrich Foundation senior research fellow Stephen Olson.
“The agenda appears to be far more reflective of what the US wants rather than what Asean wants.”
The Stimson Centre’s Ms Sun said that while the IPEF’s four pillars may be appealing from the American narrative and perspective, countries in the region may find them difficult to take part in - for instance, the higher trade standards - or expensive, such as tackling corruption.
“The IPEF may not be what the less developed countries in the region find most needed for where they are,” she said.
Dr Tong also pointed out that while the framework echoes the CPTPP through its emphasis on fair and resilient trade, it was “unclear how appealing these ‘high-standard issues’ will be to prospective members of the IPEF, other than the developed members in the region, without better market access promises”.
Other analysts such as ISEAS - Yusof Ishak Institute’s Dr Choong say Washington may be able to cajole more developed Asean members to join the IPEF, but it will be a hard sell to less developed states such as Cambodia or Laos.
US President Joe Biden and Chinese President Xi Jinping at a virtual summit on Nov 15, 2021. PHOTO: AFP
US President Joe Biden and Chinese President Xi Jinping at a virtual summit on Nov 15, 2021. PHOTO: AFP
President Biden (centre), Singapore Prime Minister Lee Hsien Loong (fourth from right) and other leaders from Asean posing for a picture in Washington on May 12, 2022. PHOTO: LIANHE ZAOBAO
President Biden (centre), Singapore Prime Minister Lee Hsien Loong (fourth from right) and other leaders from Asean posing for a picture in Washington on May 12, 2022. PHOTO: LIANHE ZAOBAO
“These countries want the meat and potatoes, and when it comes to free trade agreements, this means access to the US market and lower tariffs. The TPP was supposed to be it, but without this market access, it's difficult for Washington to bring something substantive to the table,” he said.
Depending on the details, however, Asean members are likely to find some aspects desirable, said Mr Olson.
For instance, if the digital trade provisions can help small and medium-sized enterprises access global markets, that could be quite beneficial to a region dominated by such companies, he said.
However, if other provisions prohibit local data storage requirements or require open cross-border data flows, at least some governments in the region would have a hard time signing on, Mr Olson added.
Asia Society Policy Institute vice-president Wendy Cutler, a former acting deputy US Trade Representative, acknowledged that some in the region would undoubtedly be disappointed that the IPEF will not be a traditional trade agreement with market access offers, at least for the time being.
“But it’s important that potential candidate economies closely examine the various pillars of IPEF to assess what benefits and incentives beyond market access will be provided to make the initiative attractive for them,” she said.
The focus on supply chain resilience, for instance, could be beneficial because supply chain disruptions are leading many businesses to reconsider their sourcing patterns and destinations for new investments, she said.
“With a dedicated pillar to resilient supply chains, the IPEF can go a long way in helping countries and businesses rethink and restructure their supply chains,” she added.
South-east Asian attitudes to the US and China
Unsurprisingly, some Asean countries, including Singapore, have welcomed Washington’s interest to play a bigger economic role through the IPEF.
Welcoming views of Asean countries towards US and China in %
68.1
100
75
54.5
0
62.5
76.2
86.3
74.1
81.3
70.8
Cambodia
70.6
Malaysia
44.9
Brunei
44.4
Indonesia
39.3
Asean
35.6
Laos
34.2
Thailand
33.3
Vietnam
27.2
Singapore
26.1
Philippines
23.6
Myanmar
12.7
2021
|
2022
|
0
20
40
60
80
100
Singapore Prime Minister Lee Hsien Loong said: “We encourage greater Asean participation in the IPEF and we hope the US will directly invite and engage Asean member states in this endeavour.
There remains a strong demand for US engagement in the region, fuelled in part by a wariness towards China’s growing economic might.
The ISEAS survey showed nearly two-thirds of respondents were concerned about Beijing’s growing economic clout.
Mr Olson said: “While China’s economic engagement has been beneficial and welcomed in most cases, there is also some trepidation about China’s ability to use its economic might to bully, or otherwise exploit, its partners.
“US engagement in the region, especially economically, is desired by many in Asean, if for no other reason than to counterbalance China’s rising influence,” he added.
And there is also hope that the IPEF can be a stepping stone that draws the US into deeper engagement in the region, which could, in time, turn out to be more reflective of Asean’s interests, he added.</t>
  </si>
  <si>
    <t>The Association of Southeast Asian Nations is monopolizing the Asian and Global South spotlight for no fewer than 10 days, this week and the next, across a flurry of regional and international summits. 
First stop is Phnom Penh for the 25th China-ASEAN summit, the 25th ASEAN Plus Three (APT) summit, and the 17th East Asia Summit, all the way to Sunday.
Next week will be Bali for the Group of Twenty, followed by Bangkok for the APEC (Asia-Pacific Economic Cooperation) summit.
No wonder the diplomatic spin across Southeast Asia is all about global governance entering the “Asia moment” – as coined by Chinese Foreign Minister Wang Yi. It’s a moment that may be set to last a century – and beyond.  
Chinese Foreign Minister Wang Yi. Photo: Wikimedia Commons
In parallel, Chinese diplomacy is also predictably on a roll. Premier Li Keqiang – who will step down next March, after two terms in office – heads Beijing’s delegation in Cambodia after two key Southeast Asian interactions: the visit by Vietnamese leader Nguyen Phu Trong to China and Chinese Vice-Premier Han Zheng’s visit to Singapore.  
All that fits the pattern of increasing China-Southeast Asia integration. Since 2020, ASEAN has been China’s largest trading partner. China has been ASEAN’s top trading partner since 2009. Total China-ASEAN trade reached $878 billion in 2021, up from $686 billion in 2020. It had been $9 billion in 1991. China-ASEAN investment was more than US$340 billion by last July, according to the Ministry of Commerce in Beijing. 
Interests particularly converge on deepening RCEP – the Regional Comprehensive Economic Partnership, the largest trade deal on the planet. That translates in practice as closer integration of supply chains, infrastructure connectivity and the building of a new international land-sea trade corridor.
So it’s no wonder all the slogans for these 10 days of summits reflect closer integration. The ASEAN 2022 theme is “ASEAN A C T: Addressing Challenges Together.” The Indonesians defined the G20 as “Recover Together, Recover Stronger.” And the Thais defined APEC as “Open. Connect. Balance.”
Now bend that bamboo
Timing is everything. After the Communist Party Congress defined the parameters of “peaceful modernization” and how Beijing will develop globalization 2.0 with Chinese characteristics, diplomacy was ready to go on the offensive. And not only across Southeast Asia.
On South Asia, Beijing hosted Pakistani Prime Minister Shehbaz Sharif. Regardless of who holds power in Islamabad, Pakistan remains strategically crucial, with the China-Pakistan Economic Corridor (CPEC) connecting to the Western Indian Ocean, the Persian Gulf, the Red Sea and beyond toward Europe.
Pakistan cannot be left to implode under severe financial constraints. So it’s no wonder that Xi Jinping promised that “China will continue to do its best to support Pakistan in stabilizing its financial situation.”
Pakistani PM Shehbaz Sharif visited Beijing. Photo: Creative Commons
Latest stories
US-China race for air supremacy at sea hits critical phase
US-China race for air supremacy at sea hits critical phase
No, Australia isn’t becoming a more violent country
No, Australia isn’t becoming a more violent country
US willfully ceding the energy innovation race to China
US willfully ceding the energy innovation race to China
They were very specific on CPEC: Priorities are the construction of auxiliary infrastructure for Gwadar port in the Arabian Sea and to upgrade the Karachi Circular Railway project.
On Africa, Beijing hosted Tanzanian President Samia Suluhu.
Beijing is constantly inviting African leaders to discuss trade and investment in a “South-South” format. So it’s no wonder the Chinese find receptivity to their ideas and necessities to an extent that’s absolutely out of the question in the West.
China-Tanzania is now a “comprehensive strategic cooperative partnership.” This is quite significant, because now Tanzania is on the same level as Vietnam and Cambodia, as well as Kenya, Zimbabwe and Mozambique, in China’s ultra-complex “friendship” hierarchy. Tanzania, incidentally, is a crucial source of soybeans.
On Europe, Beijing received German Chancellor Olof Scholz for a lightning-fast visit, leading a caravan of business executives. Beijing may not “save” Berlin from its current self-enforced predicament; at least it’s clear that German business will not go for “decoupling” from China.    
It’s crucial to remember that Vietnam, Pakistan and Tanzania are all key partners in the Belt and Road Initiative (BRI). And the same applies to Germany: The Ruhr Valley is the privileged Belt and Road terminal in the European Union.
All that leaves the Quad, AUKUS, the “Indo-Pacific Framework” and the “Partners for a Blue Pacific” – different denominations of isolation/demonization of China – trailing in the dust. Not to mention the imperial drive to impose “decoupling.”
Beijing knows full well Singapore’s role as the essential Southeast Asian finance/tech node. Hence the signing of 19 bilateral deals, some related to high tech. 
But as far as optics go, the key visitor may have been Vietnam. Forget about their South China Sea tensions. For Beijing, what matters is that Nguyen Phu Trong came to visit immediately after the Communist Party conference – somehow echoing the centuries-old tribute system. Hanoi may have no interest whatsoever in being strategically dominated by Beijing. But demonstrating respect – and neutrality – is the Asian diplomatic way to go.
Trong made a point to note that “Vietnam considers its friendly cooperation with China the first priority of its foreign policy.”
That may not necessarily mean that Hanoi is privileging Beijing over Washington. The meaning of “first priority” seems to be clear: China and Vietnam agreed to turbocharge work on the Code of Conduct for the South China Sea. That also happens to be a key Chinese priority – as it keeps the process as an inter-Asian matter without the predictable “foreign interference.”
It was Trong himself who first came up with the fascinating idea of “bamboo diplomacy“: soft, clever, persistent and resolute. The concept may be easily applied to the whole of China-Southeast Asian relations.
Nguyen Phu Trong meets Xi Jinping on an earlier visit. Photo: VNA
Round up the jargon
This week in Phnom Penh, there are serious discussions on deepening the RCEP; problems on the food and energy front; and speeding up the negotiation of what is billed as the 3.0 version of the China-ASEAN Free Trade Area.
All that involves a key issue: the interconnection of BRI projects and ASEAN’s so-called Outlook on the Indo-Pacific – a series of ASEAN  development strategies.
A good example is the endless high-speed-rail saga related to connecting Yunnan province in southern China to Singapore.
The building of the Thai section was proposed even ahead of the Laos section. Yet Kunming-Vientiane was ready in record time – and is rolling – while the Thais have been endlessly haggling and lost in corruption and internal infighting: Only part of their section at best will be finished by 2028.
The same applies to Malaysia and Singapore still not finding an agreement. This is the case of a key connectivity corridor across Southeast Asia hobbled by internal and bilateral trouble. In parallel, the construction of the Jakarta-Bandung high-speed railway has proceeded with only a few bumps.
As much as China and ASEAN established an official comprehensive strategic partnership in 2021, several key BRI projects are intimately connected to Southeast Asia. After all, Xi Jinping launched the Maritime Silk Road concept in Jakarta more than nine years ago.
The same applies to solving the seemingly intractable issues of the South China Sea. The Declaration on the Conduct of Parties in the South China Sea was signed by Beijing and ASEAN 20 years ago.
In geopolitical terms, the 10-headed ASEAN hydra is a unique beast: a living lab of peaceful – civilizational – co-existence.
Trade has always been the secret weapon. It has always been a two-way road between China and Southeast Asia. History tells us that the willingness of Southeast Asian rulers to submit – even if symbolically – to China explains the predominant Make Trade Not War ethos.
The main exception was Vietnam, occupied by China from 111 BC until AD 963-979. But even as Vietnam became independent from China a millennium ago, it always remained deeply influenced by Chinese culture. In contrast, the Chinese who were assimilated into Thai culture gave up Confucianism and ended up adopting Indian court rituals.   
In parallel, as Professor Wang Gungwu in Singapore always noted, paying tribute and requesting protection from the Chinese imperial dynasties never meant that Beijing could do what it wanted across Southeast Asia.
In the current incandescent geopolitical juncture, China is definitely not interested in playing divide and rule in Southeast Asia. Chinese strategic planners seem to understand that ASEAN carries a lot of soft power smoothing the big power play across Southeast Asia, offering a platform for all to engage with each other.
No one seems to mistrust ASEAN. That also explains why the Southeast Asians have come up with an acronym fest that basically hails cooperation – from ASEM and ASEAN+3 to APEC. 
So it’s enlightening to remember that “China is prepared to open itself to ASEAN countries,” as Xi himself said when he launched the Maritime Silk Road in Jakarta in 2013. “China is committed to greater connectivity with ASEAN countries” – and “China will propose the establishment of an Asian infrastructure investment bank that would give priority to ASEAN countries’ needs.”
The bilateral relationships between China and each of the 10 members of ASEAN may carry their own particular complications. But there seems to be a consensus that no bilateral will determine the future of China-Southeast Asian relations.
The discussions this week in Phnom Penh and next week in Bali and Bangkok suggest that Southeast Asia has ruled out either extreme: paying tribute or demonizing China.
Across Southeast Asia the Chinese diaspora has been informally referred to for decades as “the bamboo internet.” The same metaphor would apply to China-Southeast Asia diplomacy: Gotta go the bamboo way. Soft, clever, persistent – and enduring.</t>
  </si>
  <si>
    <t>Both ‘demonstration zones’ to be set up by 2035 in China’s eastern coastal province of Fujian
Details of plan approved in January made public at a time of high tensions over South China Sea disputes China will set up two zones to boost innovative economic and trade connections with the Philippines and Indonesia, as Beijing vies with the US to expand its influence in Southeast Asia.
China and the Asean are each others’ top trading partners, Beijing’s Ministry of Commerce noted in announcing plans for the new innovation zones on Monday.
Both so-called demonstration zones – to be set up by 2035 – will be located in the eastern coastal province of Fujian.
The Indonesian zone will be in the city of Fuzhou and the Philippine one in Zhangzhou, the ministry said, adding that they would serve as “a bridge and a bond for economic and trade cooperation” between China and Southeast Asian nations.
While the Indonesian zone will focus on fisheries, the food industry and infrastructure as areas of cooperation, the Philippine zone will prioritise the petrochemical industry, agriculture and poultry processing, as well as investment in innovation and digital trade.
“China and Asean countries will take advantage of complementary economic and trade cooperation [to] explore … cooperation models of their deeply integrated industrial chains, supply chains and value chains, and build a new high ground for economic and trade cooperation and exchanges,” a ministry spokesman said in a policy interpretation statement on Tuesday.
Ferdinand Marcos Jnr visits Beijing; Xi offers talks on joint oil exploration deal
Apart from the Philippines and Indonesia, the 10-member Association of Southeast Asian Nations includes Malaysia, Singapore, Brunei, Thailand, Vietnam, Cambodia, Laos and Myanmar.
Proposals for building the “demonstration zones for innovative economic and trade development” with Indonesia and the Philippines – Southeast Asia’s two most populous countries – had been under discussion for a while and were approved in January.
However, the details were not made public until this week, as tensions mounted over the South China Sea, a strategically important waterway and potential regional flashpoint where Beijing has territorial disputes with several Asean members.
Tensions have run high since the Philippine coastguard on Monday accused a Chinese vessel of shining a “military-grade laser light” at one of its boats near a disputed South China Sea reef, temporarily blinding crew members.
Manila filed a protest with the Chinese embassy the following day over what it called “acts of aggression by China”. The US backed Manila’s claim, saying the Chinese action was “provocative and unsafe”.
Beijing has defended the coastguard engagement as “professional and restrained”.
The Philippines and Japan, both treaty allies to the United States, have also agreed to deepen economic and security ties, as announced by Philippine President Ferdinand Marcos Jnr during a trip to Tokyo last week, in a move likely to rattle Beijing.
Diaoyu-Senkaku islands spat deepens as Japan warns China over coastguard ships in East China Sea
Marcos Jnr and Japanese Prime Minister Fumio Kishida “expressed serious concerns about the situation” in the East China Sea and South China Sea and “strongly opposed actions including force or coercion that may increase tensions”, a joint statement released after their meeting in Tokyo said, without directly naming China.
Chinese claims over most of the resource-rich South China Sea overlap with those of a number of Southeast Asian countries, including Vietnam, the Philippines, Malaysia and Brunei.
Indonesia has no territorial disputes with China but often clashes with it over fishing rights off Natuna Islands in the southern section of the South China Sea.
According to documents released by the Commerce Ministry, the two economic zones are part of a commitment made by Chinese President Xi Jinping in November 2021, when he pledged to “enhance trade and investment liberalisation and facilitation” as China and the Asean marked 30 years of diplomatic ties.
Asean has been China’s largest trading partner since 2020, partly as a result of Beijing’s efforts to diversify exports to offset trade pressure from the US.
The two sides are also part of the Regional Comprehensive Economic Partnership, the world’s largest free trade agreement involving 15 countries – including Japan, South Korea, Australia and New Zealand – and accounting for 31 per cent of the global GDP.
Earlier this month, China and Asean announced the launch of a new round of talks to upgrade the RCEP to cover commodity trade, investment, and the digital and green economies.</t>
  </si>
  <si>
    <t>JAKARTA -- The Association of Southeast Asian Nations and China are aiming to conduct an exercise on a security hotline this year in an effort to prevent an accidental collision from escalating tensions in disputed South China Sea, the bloc said on Friday after a meeting with officials from Beijing.
"What is important is incident management [in the South China Sea]," Sidharto Suryodipuro, director general of ASEAN at Indonesia's Ministry of Foreign Affairs, told reporters. "What we can do this year is an exercise about a hotline."
The communication scheme was agreed upon several years ago, but he said ASEAN is looking to have an exercise among 10 Southeast Asian countries and China.
Diplomats from ASEAN and their counterparts from China gathered in Jakarta for a three-day meeting, hosted by Indonesia, this year's ASEAN chair.
China has overlapping claims with several Southeast Asian countries in the sea. At an ASEAN foreign ministers meeting in February, the ministers reaffirmed the bloc's commitment to wrapping up talks with China on a Code of Conduct (CoC) "as soon as possible" to deal with the territorial disputes in the area.
Increasingly complicated relations with the U.S. and Europe only add impetus for China to show the world that Beijing is strengthening ties with ASEAN.
Although details of the meeting were not disclosed, Suryodipuro said, "Exploration of new approaches will be carried out" to accelerate negotiation on the CoC. "Whether the CoC will be legally binding or not is what is being discussed," he said, but added, "We avoid binding words for now."
In recent months, tensions in the South China Sea have intensified.
In February, the Philippines said one of its ships was hit by a laser shined by a Chinese vessel near a shoal of Spratly Island. Meanwhile, the U.S. Center for Strategic and International Studies (CSIS) said in December that Vietnam had conducted a major expansion of dredging and landfill work at several of its South China Sea outposts in the second half of 2022.
The South China Sea, which is crucial for international trade connecting Asia, the Middle East and Europe, has been at risk of turning into a proxy battlefield between Washington and Beijing. China continues to deploy warships and build military structures in the area, while the U.S. and its allies in the region undertake joint patrols.</t>
  </si>
  <si>
    <t>‘Win-win cooperation only correct choice’ for China and Asean in South China Sea, Premier Li Qiang tells Malaysian leader Anwar Ibrahim
Long-awaited code of conduct should focus on ‘crisis management’, not ‘consolidation of rights and claims’, Chinese analyst writes in Global Times China has pushed for talks on a protocol to manage territorial disputes in the South China Sea while pledging to strengthen ties with Malaysia – one of the rival Southeast Asian claimants in the resource-rich waterway.
It came as Chinese Premier Li Qiang met Malaysian Prime Minister Anwar Ibrahim in Beijing, where he highlighted the need for regional cooperation.
Five bilateral memorandums of understanding were signed during Anwar’s visit to Beijing, involving trade and economic relations, food security and agriculture.
According to Anwar’s official Twitter account, an investment commitment of 170 billion ringgit (US$38 billion) focusing on green technology and the digital economy was also reached between companies from the two countries.
China and Malaysia should “aim at cooperation in high-quality development, promote the well-being of the two countries and their people, and contribute to regional and global stability and development”, Li told Anwar.
He also said that the two countries, along with others involved in South China Sea territorial disputes, should push forward talks on the code of conduct to “ensure peace and stability” of the waterway.
“Win-win cooperation is the only correct choice [for us],” Li said, as he called to speed up talks on the long-awaited code of conduct, as well as version 3.0 of the China-Asean free trade agreement.
Negotiations between Beijing and the Association of Southeast Asian Nations on a South China Sea code of conduct date back to more than 20 years.
Beijing claims almost the whole of the busy waterway under what it calls its historical “nine-dash line”. Four Asean members, including Malaysia, have competing claims, and a code is seen as a potential way to overcome this long-standing barrier to deeper regional ties.
China sought “integrated development” with Malaysia in areas ranging from supply chains, big data and agriculture, to education and media, Li told Anwar during their meeting on Saturday.
Earlier, Anwar met Chinese President Xi Jinping, who highlighted the two Asian nations’ roles in promoting “globalisation and multilateralism”.
Xi also said China was ready to strengthen the relationship with Malaysia and work with it to resist Cold War-style bloc confrontation.
Chinese President Xi Jinping meets Malaysian Prime Minister Anwar Ibrahim in Beijing. Photo: Xinhua
Chinese President Xi Jinping meets Malaysian Prime Minister Anwar Ibrahim in Beijing. Photo: Xinhua
The series of corporate agreements signed at the Malaysia-China Business Forum held during Anwar’s visit to Beijing included a deal between Malaysian carmaker DRB-Hicom and Zhejiang Geely Holding Group.
The Malaysian Palm Oil Board also signed an agreement with a government-backed trade association in China, the world’s second-largest buyer of the edible oil, Reuters reported.
With territorial conflicts in the resource-rich and strategically important South China Sea seen as a major obstacle to regional cooperation, the countries involved agreed to work on a code of conduct in 2002.
But disputes arose and talks did not begin until 2017, and even then progress was slow due to the pandemic and the complexity of the situation, with Asean often left walking a tightrope as China’s relations worsened with the United States, a key security partner for several bloc members.
In August 2021, then Chinese foreign minister Wang Yi – now the country’s top diplomat – signalled Beijing’s readiness to resume negotiations for the first time since the start of the Covid pandemic.
He also described the United States as “the biggest troublemaker for regional stability”, citing the “confrontational and dangerous nature” of its Indo-Pacific strategy, which Beijing sees as aimed at containing China.
According to Ding Duo, an associate research fellow at the National Institute for South China Sea Studies, the pace of negotiations is expected to speed up with the latest round of talks in Indonesia last month.
In an article for the Chinese state-backed tabloid Global Times, Ding stressed that countries negotiating the terms should ensure that the code focuses on “crisis management” rather than “consolidation of rights and claims”.
“If disputes occur, they should be managed with standards and mechanisms established in the document.”
He said the code should not only comply with the UN Convention on the Law of the Sea, but also the principles of international law in the United Nations Charter, and treat all parties concerned equally.</t>
  </si>
  <si>
    <t>SAN ANTONIO, Philippines/KUALA LUMPUR -- Clad in a bomber jacket, Philippine President Ferdinand Marcos Jr. climbed into the cabin of a High Mobility Artillery Rocket System (HIMARS) for a briefing on the American launcher's lethal capabilities.
Later, from an observation tower, he peered into binoculars as another HIMARS fired six rockets at a decommissioned corvette in waters facing the South China Sea, where the Philippines and China are embroiled in a long-standing maritime dispute. The rockets missed, but U.S. and Philippine airstrikes sunk the ship.
The simulation Marcos attended on April 26 capped two weeks of joint drills named Balikatan -- meaning "shoulder to shoulder." This year's edition was the largest the U.S. and Philippines had ever conducted together, with 17,600 participants.
Marcos' presence highlighted a dramatic shift in Manila's approach to the South China Sea dispute since he took office last June -- a move one analyst said could embolden other claimants, some of which have also changed governments in the past year.
This week, the South China Sea dispute is expected to be high on the agenda when leaders of the Association of Southeast Asian Nations hold their summit in Indonesia. ASEAN states Brunei, Malaysia and Vietnam also lay claims to parts of the waterway, through which around $3 trillion worth of trade passes annually.
Marcos' predecessor, Rodrigo Duterte, had threatened to end the Philippine-U.S. troop deployment agreement that facilitated Balikatan. Duterte also wanted to scale down such maritime security drills, wary of upsetting China, which he eagerly courted for investment. While Marcos himself in January won $22.8 billion in investment pledges from China, which officials say are slowly being realized, the new Philippine leader has risked Beijing's ire with his decision to expand the U.S. military presence in his country and to publicize China's aggressive actions in the Philippines' exclusive economic zone (EEZ).
That body of ocean -- the section of the South China Sea covered by the Philippines' EEZ -- includes the Scarborough Shoal and Spratly Islands.
"The Philippines' strengthened posture in the South China Sea, with its increased cooperation with the U.S. and its willingness to 'name and shame' China's illegal activities in the region, will encourage other Southeast Asian claimants to be more confident in protecting their rights in the South China Sea," predicted Alexander Vuving, a professor at the Daniel K. Inouye Asia-Pacific Center for Security Studies in Honolulu.
The other claimants are less likely to "feel alone," he explained.
Beijing has bolstered its own expansive claims over the critical swath of ocean, building artificial islands with military installations in contested waters. It continues to reject a 2016 ruling by an international arbitration court that invalidated its assertion of sweeping sovereignty based on historical maps, after a long-running case originally filed by Manila.
In recent years, Chinese vessels have obstructed Filipino fishermen in traditional fishing grounds; rammed and sunk a Filipino fishing boat; swarmed Manila's EEZ; and in February used a military grade laser light against a Philippine Coast Guard ship, temporarily blinding its crew.
Amid the simmering tensions, Marcos has ordered the Philippine military -- which has been fighting domestic communist and Islamist rebels for decades -- to focus on external defense.
Marcos in February also approved four additional military bases that the U.S. can access to help safeguard Manila's interests. "We do not want to be provocative but ... we feel that it will help in making sure that there is safe passage in the South China Sea," Marcos told Nikkei Asia in an interview in February when asked about his base access decision.
Last week, Marcos visited the U.S. to meet with President Joe Biden. In Washington, he won security guarantees as well as donations of patrol vessels and aircraft. The partners also set up new bilateral defense guidelines that aim to modernize their alliance under their 1951 Mutual Defense Treaty. The guidelines call for expanded maritime cooperation, including joint patrols.
"As President Biden has made clear, our commitment to the defense of the Philippines is ironclad. And let me say once again that our [treaty] applies to armed attacks on our armed forces, Coast Guard vessels, public vessels or aircraft in the Pacific, including anywhere in the South China Sea," U.S. Defense Secretary Lloyd Austin told Marcos.
Washington has no claim of its own over the South China Sea, but the area has become a flashpoint in the U.S.-China power rivalry. Chinese Foreign Ministry spokesperson Mao Ning on Thursday said Beijing opposes "any country's move to meddle in the South China Sea issue to harm China's territorial sovereignty and maritime rights and interests."
She added, "I would like to stress that the South China Sea is the shared home for countries in the region, not a hunting ground for forces outside the region."
Philippine President Marcos and U.S. President Joe Biden walk to the Oval Office in Washington on May 1.   © Reuters
Days before Marcos' visit, the U.S. accused China of "harassment and intimidation" in the South China Sea, after the Philippine Coast Guard reported "aggressive tactics" and "dangerous maneuvers" by Chinese vessels during a round of weeklong patrols within the Philippines' EEZ.
The coast guard said its patrols were "in accordance with President Marcos' directive." It even brought in journalists to document confrontations with Chinese ships -- part of Manila's move to increase public awareness of Beijing's aggressiveness.
Elsewhere, there are some signs of other claimants insisting on their rights in the resource-rich sea.
A Chinese H-6K bomber: Beijing says the South China Sea is a "shared home for countries in the region, not a hunting ground for forces outside the region."   © Xinhua via AP
Malaysian Prime Minister Anwar Ibrahim, who was sworn in last November, told the parliament in April that he had raised the issue of Chinese encroachment into Malaysian waters and airspace during his recent visit to China, vowing to press ahead with resource exploration.
"I said this personally to Premier Li Qiang and President Xi Jinping that the gas project is located within the Malaysian [sovereign] area, therefore, Petronas will continue to operate there," Anwar said, noting that he left the door open for negotiations.
State-owned Petronas is exploring the Kasawari Gas Field, off the coast of the state of Sarawak in Borneo. The field is estimated to contain 3.2 trillion cubic feet of natural gas and is considered vital to Malaysia's economic future. A China Coast Guard vessel had been spotted operating near the project.
Long before Marcos took office, Vietnam was also speaking up about China's South China Sea maneuvering. This is likely to continue after this year's leadership changes in Hanoi, analysts said.
Significantly, Vietnam has been quietly modernizing its navy, air force and cyberwarfare capabilities. It has also moved to develop defense cooperation with foreign partners on weapons procurement, joint military drills and intelligence sharing, noted Ha Hoang Hop, an associate senior fellow at ISEAS-Yusof Ishak Institute in Singapore. These are "all necessary steps" to enhance Vietnam's defense and security, to help "hedge" external risks, he said.
Malaysian Prime Minister Anwar Ibrahim, pictured during a visit to Manila on March 1, says he has raised the issue of maritime encroachments with Beijing and vowed to press ahead with resource exploration.   © Reuters
Heading into the ASEAN summit, meanwhile, a question is to what degree bloc members -- some with competing South China Sea interests among themselves -- can get on the same page.
For years, ASEAN and China have been in talks for a Code of Conduct in the South China Sea to manage tensions. Indonesia, this year's ASEAN chair, plans to intensify negotiations that have been hampered by divisions among claimant states as well as non-claimant members -- such as Laos and Cambodia -- that are economically dependent on China.
Zokhri Idris, a managing partner of Global Asia Consulting, pointed out that not everyone shares Marcos' enthusiasm for U.S. involvement. "Other claimants like Malaysia and Brunei do not share alliances with the U.S. and especially Malaysia rejects foreign military presence" in Southeast Asia, he said, though he added that Malaysia would not interfere with the Philippines' internal decisions.
In Idris' view, "Vietnam possibly would follow Philippines' moves" in adopting a more muscular posture, though he stressed Hanoi would tread carefully to avoid undermining its rise as a trading nation. Officially, Vietnam also opposes stationing foreign troops on its soil and entering military alliances with outside powers under its "four no's" policy.
Over the past week or so, Vietnam joined the Philippines, Malaysia, Brunei, Indonesia, Singapore and Thailand in maritime drills with India in the South China Sea, under Beijing's watchful gaze.
Whatever ASEAN does, Bich Tran, an adjunct fellow at the Center for Strategic and International Studies in Washington, is skeptical of the Code of Conduct.
"The Code of Conduct process is unproductive regardless of recent developments because China does not want to tie its own hands," Tran said. "Beijing will either drag the negotiation or push for an agreement on its own terms, which ASEAN claimants would not want."
The Arleigh Burke-class guided-missile destroyer USS Milius conducts routine operations in South China Sea on March 24.   © U.S. Navy/AP
As for China's actions, Tran does not expect much of a change. "It is unlikely that Beijing will abandon its gray zone tactics in pursuit of a more confrontational strategy," she said, referring to China's usage of nonmilitary vessels to assert its claims.
Like Tran, Vuving at the Daniel K. Inouye Center is doubtful that a code will be hammered out anytime soon. But he suggested the Philippines' emergence as a leader in standing up to China could make it the "main target" of retaliation.
"China will be more aggressive against the Philippines to test how the U.S. would support them," he said. "But China will remain assertive against Vietnam, Malaysia and Indonesia to dissuade these countries from following the Philippines' lead."</t>
  </si>
  <si>
    <t>LABUAN BAJO, Indonesia -- The Association of Southeast Asian Nations concluded its three-day summit on Thursday, calling on all parties to exercise self-restraint in the disputed South China Sea, while bloc chair and Indonesian President Joko Widodo lamented the lack of progress on resolving the crisis in Myanmar.
Indonesia's post-summit chair's statement called for resolving tensions in the South China Sea -- where China's sweeping claims overlap with those of several ASEAN states -- in accordance with international law. It also stressed that countries should avoid conduct that could escalate the situation.
During a closing press briefing, Widodo highlighted various points of agreement between the leaders toward a "stronger and more independent" ASEAN, from strengthening local currency transactions and digital payment connectivity to developing a production ecosystem for electric vehicles. The Indonesian leader also called on his fellow members to focus on protecting migrant workers and victims of human trafficking.
Yet the three days of talks left the bloc no closer to resolving the crisis in its midst.
During an earlier session on Thursday, Widodo acknowledged that there had been "no significant progress" toward implementing the "Five-Point Consensus" -- a plan for resolving the Myanmar conflict, drawn up by ASEAN with Myanmar military leader Min Aung Hlaing two years ago.
Later, Widodo told reporters that abuses and violence in Myanmar cannot be tolerated. The military regime, which seized power in February 2021, stands accused of widespread atrocities.
At the same time, Widodo said the Five-Point Consensus gives ASEAN a mandate to engage with all stakeholders, including the military, which was not invited to the summit.
"Inclusivity must be firmly held by ASEAN because ASEAN's credibility is at stake, and Indonesia is ready to speak with anyone, including the junta and the entire stakeholders in Myanmar, for humanitarian [objectives]," he said. "It is important for me to underline that engagement [with the military regime] doesn't mean recognition."
Widodo stressed the need to maintain "ASEAN unity" despite the impasse. "Without unity, it's very easy for other parties to break ASEAN apart. I'm sure no ASEAN country wants that," he warned.
Events on the ground in Myanmar this week only underscored the difficulty of doing that, however. On Wednesday, bloc leaders condemned an attack on an ASEAN-led humanitarian assistance team in Myanmar's Shan state, and stressed that the perpetrators must be held accountable. It remains unclear who was responsible.
Bridget Welsh, honorary research associate with the University of Nottingham Asia Research Institute Malaysia, told Nikkei Asia that the group's handling of the Myanmar issue is a "pathetic failure."
"ASEAN has not only lost credibility, it has allowed the [Myanmar military] generals to run circles around the organization," she said.
On other matters, such as economic integration, health cooperation and human rights, Welsh was more positive about what she termed incremental changes in the right direction. The institutionalization of ASEAN as a body separate from governments, she said, had "allowed some space to engage in reforms and dialogues."
"However, there is still a long way to go to achieve the aspirations," she added, stressing that ASEAN was being "pulled down" by Myanmar.
The festering South China Sea tensions and uneven post-pandemic economic growth also loom over ASEAN.
The summit gave leaders a chance to discuss the South China Sea and the yearslong process of compiling a Code of Conduct with China, aimed at avoiding conflict.
According to Indonesia's statement, the leaders welcomed work on the code and emphasized the need to maintain and promote an environment conducive to the negotiations, while calling for practical measures that could reduce tensions and the risk of miscalculations.
Beijing claims much of the resource-rich waterway and key trade route, despite a 2016 international arbitration ruling that invalidated its arguments. ASEAN members the Philippines, Malaysia, Vietnam and Brunei also lay claims to parts of the sea, and are eyeing a multilateral platform for approaching China. Malaysia's Prime Minister Anwar Ibrahim proposed this during an official visit to the Philippines in March.
On Wednesday, Philippine President Ferdinand Marcos Jr. said that ASEAN should uphold international law and the international rules-based system which has "underpinned peace, security, stability and prosperity" in the region. The Philippine leader has adopted a more muscular approach to the South China Sea since he took office last year.
A Philippine Coast Guard pilot flies by the disputed Spratly Islands in the South China Sea on March 9.   © Reuters
Thomas Daniel, a senior analyst at the Institute of Strategic and International Studies Malaysia, said that tensions in the body of ocean remain a conundrum for ASEAN. The risks of the regional dispute becoming further entangled in the U.S.-China rivalry -- including a possible Taiwan Strait crisis -- are higher than ever, he said.
"China's aggressiveness in enforcing its claims, especially on hydrocarbon operations, are pressuring even normally reserved countries like Malaysia on the viability of its South China Sea policies," Daniel said, adding that ASEAN looked hamstrung.
Rahul Mishra, director of the Centre for ASEAN Regionalism at the University of Malaya, had a different take, saying Indonesian diplomacy was tackling the issue head-on. "True, the negotiations even within ASEAN are going to be tricky, but it might open up new opportunities for members in dealing with the South China Sea challenge," Mishra said. He pointed to the ASEAN Coast Guard Forum, established late last year, which he said could help deal with such threats through "sharing of best practices and regular exchange of information."
In the opening plenary of the summit, Widodo noted that big power rivalries are taking center stage even as the global economy has yet to fully recover from the COVID-19 pandemic. "Will ASEAN remain a spectator?" he said, asking whether the bloc could be an "engine of peace and economic growth."
Those comments alluded to the potential opportunities before an expanding ASEAN, which is set to welcome East Timor as its 11th member after unanimous approval. But as the curtain closed on the summit in Labuan Bajo, it was clear that Indonesia and ASEAN still had plenty of work cut out for them.</t>
  </si>
  <si>
    <t>The steady thunder of dump trucks breaks the serenity of what were once forested hills in the southern Chinese region of Guangxi. They carry mounds of earth excavated to build an enormous canal, with locks capable of accommodating 5,000-tonne cargo ships.
The 72.7 billion yuan ($10.3 billion) Pinglu Canal will stretch over 134 kilometers from the Xijin Reservoir, near Guangxi's capital city of Nanning, to the port of Qinzhou in the south, complementing existing highways and railways to move goods.
All told, officials say an estimated 340 million cubic meters of dirt and rocks -- three times what was excavated to build China's Three Gorges Dam, the world's largest hydroelectric plant -- will be cleared away. "Work is being carried out on a 24-hour basis" to meet the completion deadline of 2026, Li Xiaoxiang, an official at the construction site, told Nikkei Asia during a recent tour organized and supervised by Guangxi's foreign affairs office.
Launched last year, the project highlights Beijing's shifting focus toward enhancing maritime connectivity for its Belt and Road Initiative, as opposed to land routes, according to experts. "That's quite new," said Yang Jiang, an expert on China's politics and economy at the Danish Institute of International Studies, noting the canal was conceived in a 2019 plan to construct a strong transport country. "A lot of effort so far has been on railway" infrastructure.
Officials say that when completed, the canal will shorten the shipping distance from inland river systems to the sea by 560 km, versus going through Guangzhou. Li claimed this would save up to 5.2 billion yuan annually.
By creating a convenient and economical gateway close to Southeast Asia, the waterway also promises to help rev up industries in Guangxi and other parts of relatively less-developed western China. But geopolitics may be adding an element of urgency to the endeavor.
Just as the U.S. and Western allies are determined to "de-risk" from China, as illustrated at the Group of Seven summit in Hiroshima in mid-May, Beijing is keen to reduce its own trade dependencies. Both sides "have the same fear," analysts wrote in a report published by the Peterson Institute for International Economics in March: "that the other side will suddenly weaponize trade flows -- cut off imports or exports -- in the name of security."
"Trying to get ahead of that, each is now attempting to diversify."
The Pinglu Canal is aimed at boosting already growing trade with the 10 members of the Association of Southeast Asian Nations, all of which are grouped with China under the Regional Comprehensive Economic Partnership (RCEP) free trade framework, officials said. Even now, ASEAN and China are each other's largest trade partners, with two-way trade rising 52% from 2019 to 2022 -- exceeding the 20% increase with the European Union.
Besides reducing China's reliance on trade with the West, some say doing more business with Southeast Asia could soften the animosity between Beijing and several governments in the region.
"A stronger relationship between China and some ASEAN countries benefits both, since they need such cooperation to blunt the sharpness of their territorial disagreements in the Spratly and Paracel islands," said Phar Kim Beng, CEO of Malaysian consultancy Strategic Pan Indo Pacific Arena (SPIPA), referring to territorial disputes in the South China Sea.
Yang at the Danish Institute said the lessons of the pandemic further spurred authorities to beef up shipping infrastructure. China's COVID-19 lockdowns caused severe supply-chain interruptions as logistics were concentrated in key ports on the country's eastern coast.
"In view of China's difficulties handling global logistics during COVID, there is obviously a need to strengthen some of the ports in China so that it doesn't rely on bigger ports in Shanghai," Yang said.
Indeed, the canal is only part of an ambitious effort to create an efficient land-sea corridor. About 40 km away from the construction site, a parade of driverless trucks moves 20-foot shipping containers at the Qinzhou Automated Container Terminal. They roll toward a quay, where computer-operated cranes pick up the containers and shift them over to a berthed cargo ship.
"Welcome to our intelligent port," said an official at the terminal, operated by state-owned Beibu Gulf Port Group. The official explained that the facility is the product of 22 months of upgrade work completed last June.
Guangxi government officials say the emerging corridor has already accelerated logistics -- speeding up shipments from Chongqing in western China to Singapore to seven days, from 22.
Even with such improvements, some experts caution that the full economic benefits of the canal and high-tech port infrastructure will not be automatically unlocked.
"The construction of efficient infrastructure is a welcomed development, however it cannot by itself create trade synergies where they don't exist, nor can it create competitive industries in ASEAN capable of producing products that Chinese importers will demand," said Stephen Olson, senior research fellow at Singapore's Hinrich Foundation.
He added that "China's economy is far larger than any single economy in ASEAN, and that creates leverage that can sometimes result in unbalanced and unsustainable trade relationships."
Olson also expressed skepticism about efforts by both the U.S. and China to pull ASEAN countries closer to their side. "For most countries in ASEAN, their national interests are best served by sitting on the fence and maintaining robust economic and strategic ties with both," he said.
There are concerns about costs as well -- environmental and financial.
When asked about the impact on ecosystems from clearing such a huge swath of land for the canal, a project official vowed that "we will also construct conservation havens to safeguard the ecology" but did not go into details.
A study published last year by the Transport Planning and Research Institute, under China's Ministry of Transport, did flag a range of potential side effects from the canal -- including isolation or destruction of natural habitats, changes to the area's ecology, a reduction in vegetation, and dust or other air pollution from passing vessels. Still, the authors argued that depending on the route, the risks should be "controllable," while noting that "abundant wetland environments" could be created to mitigate the impact.
The estimated $10.3 billion bill for the canal project, meanwhile, comes amid greater scrutiny of Chinese local governments' fiscal health now that pandemic-related social restrictions have been lifted, and with the property sector going through a painful slowdown.
The canal project is backed by state institutions in Guangxi, including Beibu Gulf Investment Group, according to company data search portal Aiqicha.com. The group in December was assigned to a Baa3 rating in its first assessment by Moody's. The rating, Moody's lowest investment grade, was buoyed by the backing of the Guangxi government, though the agency noted the group's "fast debt growth related to its investments in public policy projects."
That aside, both foreign and local manufacturers in Qinzhou say they are beginning to feel the effects of the upgraded port facilities, as well as RCEP. The trade deal, also signed by Japan, South Korea, Australia and New Zealand, took effect last year. It eliminates 90% of tariffs on goods traded between the signatories.
"Tax clearance has been cut from three days to just one-to-two minutes," said Zhou Ju, an official at Asia Pulp and Paper in Qinzhou, backed by Indonesian conglomerate Sinar Mas Group. Zhou attributed this to the certificate of origin -- export documentation available online under RCEP.
Officials insist the Pinglu Canal promises to help China reap even greater gains from RCEP. Phar at Malaysia's SPIPA suggested there might be some public relations value to consider, with both Southeast Asian countries and the domestic population.
"Most, if not all, developing countries do need iconic projects to win the hearts and minds of the people domestically as well as abroad," he said.</t>
  </si>
  <si>
    <t>JAKARTA – China and South-east Asian countries have agreed on a set of guidelines to speed up negotiations for a code of conduct (COC) in the disputed South China Sea.
The guidelines were adopted during a meeting between Asean foreign ministers and China’s top diplomat Wang Yi in the Indonesian capital of Jakarta on Thursday.
Indonesian Foreign Minister Retno Marsudi hailed the development as an important milestone and an achievement that “should continue to build positive momentum” on a partnership that advances inclusivity and openness, respects international law, and promotes dialogue and collaboration.
“We want China to be a staunch Asean partner in maintaining an open and inclusive regional architecture. Only through this can we attain win-win cooperation for the sake of common peace, stability and prosperity in the Indo-Pacific,” she said during Thursday’s session of the four-day Asean Foreign Ministers’ Meeting and related meetings, which began on Tuesday.
On the progress made towards realising a rulebook for the South China Sea, Mr Wang said: “China welcomes the successful conclusion of the second reading of the Code of Conduct for the South China Sea, and supports all parties in accelerating the formation of the guidelines, with the hope that the guidelines will continue playing a constructive role.”
Asean countries and China have been trying for years to formulate a legally binding COC to govern the South China Sea, one of the world’s busiest waterways that is also the site of overlapping claims by China, Taiwan, and four Asean states – Brunei, Malaysia, the Philippines and Vietnam.
The parties disagree on a number of issues, including military actions and fishing activities in the area.
A compromise was reached in 2002 when Beijing and the 10-nation bloc signed the Declaration on the Conduct of Parties (DOC), an informal agreement that commits both sides to adhere to the principles of international law, respect freedom of navigation and resolve conflicts peacefully.
The DOC was to pave the way for a COC, a binding framework for dispute resolution.
The guidelines adopted on Thursday – the Guidelines for Accelerating the Early Conclusion of an Effective and Substantive COC – are aimed at speeding up the COC negotiation process.
Details, however, were not provided.
Mr Wang, who is China’s most senior foreign policy official, told the foreign ministers that “China actively participates in and firmly supports a regional cooperation framework with Asean at the core” and “adheres to a concept of inclusivity, rejects interference, and continues development”.
Besides the South China Sea issue, Ms Retno also requested China’s support for the concrete implementation of the Asean Outlook on the Indo-Pacific.
The Indonesia-led initiative signed by Asean leaders in 2019 lays out the grouping’s common position on regional cooperation, security and prosperity, as well as its stance on not taking sides with any major powers competing for influence in the region.
Mr Wang said China and Asean are in “active discussions” over a third version of a free trade agreement and have pushed the full implementation of the Regional Comprehensive Economic Partnership, a trade deal involving 15 Asia-Pacific countries, including China.
China and Asean are each other’s largest trading partner, with trade between them reaching US$975 billion (S$1.3 trillion) in 2022.
China is also the fourth-largest source of foreign direct investment in Asean, which touched US$13.8 billion in 2021.</t>
  </si>
  <si>
    <t>At the opening of a conference on Chinese politics in Hanoi late last year, the Vietnamese host was quick to reassure the delegates. "Talking about a country's political system," she said, "is not the same as interfering in a country's political system."
Few countries know China as well as Vietnam and are as adept at handling it, with skills learned over hundreds of years of managing cross-border trade and skirmishes and, sometimes, war -- on land and at sea.
Yet the fact that the Vietnamese felt compelled to open a closed-door talkfest on Xi Jinping and his mastery over the Chinese Communist Party with a disclaimer underlines how southeastern nations are struggling with Beijing's growing strength and assertiveness.
U.S. President Joe Biden will travel to Vietnam in the coming weeks in an effort to upgrade Washington's ties with Hanoi and provide the country with additional weight to balance relations with Beijing.
Southeast Asia is the cockpit of a geopolitical rivalry between China and the U.S. It is a region that Beijing considers to be its backyard and natural sphere of influence, but which Washington, along with its allies and partners, is determined to contest.
Vietnamese Prime Minister Pham Minh Chinh and Xi Jinping at the Great Hall of the People in Beijing on June 27.   © Xinhua/AP
Each of the 10 member states of the Association of Southeast Asian Nations has its own bilateral dynamic -- and set of problems -- with China.
China is the biggest trading partner of all 10 and the largest single provider of development aid to the region, dispersing an annual $5.5 billion or so in real terms since 2015. China's economic strength, and its high-profile investments in the region under the banner of the Belt and Road Initiative, inevitably raise the question: Is a post-American world in Southeast Asia inevitably a Sinocentric one?
On top of deepening economic links, Beijing is attempting to embed an immutable cultural narrative into regional relationships, based on the idea that China and fellow Asian nations should naturally work together. That means excluding outsiders, like the U.S.
General Li Shangfu, China's defense minister, said at the Shangrila Dialogue in Singapore in early June that China was bound through "geography, culture and family bonds" to its neighbors. "We treat each other like brothers and sisters," he said.
There is, however, another side to China's relations with its near neighbors.
Beijing is embroiled in multiple, seemingly intractable sovereignty disputes with surrounding countries, mainly over maritime boundaries, and faces charges of political meddling through ethnic Chinese communities. Beijing's mistreatment of its Uyghur Muslim minority in Xinjiang rankles in Islamic states like Indonesia and Malaysia.
Indeed, General Li's remark at the Shangrila conference prompted not warm applause but a scatter of guffaws and catcalls.
Li's speech was followed by hostile questions from Filipinos and Vietnamese in the audience, some of whom were angry at incursions by Chinese vessels into their sovereign waters. Li brushed their questions aside.
Balancing act
Learning how to deal with more powerful neighbors and interlopers is nothing new for Southeast Asia. As the late Australian foreign policy scholar Allan Gyngell wrote, the nations have all "brought to their statecraft centuries-long experience of responding to and absorbing the clashing interests of dynasties and empires," from China, India, Europe and, most recently, the U.S. and Japan.
But rarely have the countries faced the stark dilemma that they face today, of having to choose in big and small ways between two superpowers, which are tied through trade but have radically different governing systems and regional agendas.
The region's struggle to deal with a rising China -- to embrace the economic benefits while minimizing political interference -- was evident during my recent trip around Southeast Asia and multiple meetings with top policymakers and scholars.
Many ministers, officials and academics are highly critical of China in private and often urge their interlocutors to speak frankly about Beijing's behavior. In public, they are, by and large, much quieter.
There are exceptions. The Philippines has embraced a closer relationship with Washington since Ferdinand "Bongbong" Marcos became president in June 2022, going out of its way to highlight what it says are regular incursions into its sovereign waters by Beijing's vessels.
On some occasions, Vietnam allows its disputes with Beijing to be played out in public, as a way of pressuring China and harnessing relationships with Beijing's rivals. Mostly, however, Hanoi works behind the scenes, through its ruling Communist Party's close ties with its counterpart in Beijing.
The countries that do speak up are realistic about where it gets them. "In 2022, we issued 198 note verbales (diplomatic complaints) about China's behavior in our waters," said a senior Filipino diplomat. "But whenever we call up the hotline with Beijing, nobody answers."
The 'ASEAN way'
A surefire way to track the new regional politics of Asia is to watch how regional nations talk about the two competing superpowers.
Many regional leaders and their officials, and local scholars, are willing to criticize the U.S., as doing so comes at little diplomatic and economic cost. With China, it is the opposite. In Southeast Asia, officials and scholars have increasingly internalized the dangers of publicly speaking out against Beijing.
Belt and Road Initiative projects across Southeast Asia, such as the East Coast Rail Link, pictured in Malaysia in January, serve as reminders of China's investment in the region.    © Reuters
"There is a clear asymmetry of incentives" for regional leaders and scholars, says Richard Heydarian, of the University of the Philippines, Manila.
"Speaking tough vis-a-vis the West often allows them to both burnish their 'nationalist' credentials at home as well as solicit positive attention from Western counterparts," he said.
"Meanwhile, openly criticizing authoritarian superpowers could mean, at the very least, loss of access and grants or, worse, ending up as a target of disinformation campaigns and attacks by local proxies. This is true even in broadly West-leaning countries such as the Philippines."
An adviser to the Malaysian foreign minister lamented that Kuala Lumpur should be complaining to Beijing about the South China Sea, Xinjiang, BRI infrastructure problems and Jho Low (a Malaysian fugitive believed to be in China). "But we don't," the adviser said, speaking on the understanding that he would not be named. "We approach China in the 'ASEAN way.' In other words, we don't make any noise in public."
Sticking together?
This reticence is in part an exemplar of the "Asian values" of the kind that were espoused in the 1990s by Singapore's Lee Kwan Yew and Malaysia's Mahathir Mohamed, both prickly but intellectually formidable leaders who used the idea to batter critics of their governments.
The idea that "Asia should be run by Asians " -- that it should conduct diplomacy collegiately and quietly among its own officials -- long had currency in the region. The notion dates back to colonial times and tracks all the way to the postwar era of Pax Americana, during which the U.S. was the most powerful force in the region.
The idea had strong support in Japan for many years, though less so now. The capital of Asia once might have been Tokyo. Now, it is firmly in Beijing. Having overtaken Tokyo, Beijing would now like to push the U.S. off its dominant perch in the region as well.
China is right that it is connected to the region through "geography, culture and family bonds," as General Li said in Singapore in June. Every Southeast Asian nation has a sizable ethnic Chinese population. Geography is also a potent factor.
Wang Yi, China's most senior diplomat and a Politburo member, delivered a more racially tinged version of Asian solidarity at his trilateral meeting with Japanese and South Korean foreign ministers in Qingdao earlier this month.
Wang Yi at a trilateral meeting with Indonesia and Russia in Jakarta on July 12.    © Reuters
"No matter how yellow you dye your hair, or how sharp you make your nose, you'll never turn into a European or American, you'll never turn into a Westerner," said Wang, who heads the ruling party's foreign affairs commission. "One needs to know where one's roots are."
Wang emphasized the exclusiveness of the club that he was proposing: "Only a region that is united and self-reliant can eliminate external interference and achieve sustainable development," he said.
However self-serving Wang's statement may have been, such ideas can pack more of a punch than China's critics like to acknowledge, as residual anti-Western, anti-colonial sentiment retains real force in regional politics.
But the way the region tiptoes around China is less about "Asian values" and more about raw power, and what the geopolitical market will bear. "China pretends to be an equal, but it insists on having its 'major power interests' served," an Indonesian Foreign Ministry official said. "If we were shy about Russia's invasion of Ukraine, what do you think we will say about Taiwan?"
Indonesian President Joko Widodo, second from left, and his wife Iriana, left, pose with Chinese President Xi Jinping and his wife Peng Liyuan in Chengdu, China, on July 27. Widodo became president two years after Xi became party general secretary.   © Indonesian Presidential Palace/AP
Beijing has shown it is willing to impose costs on nations that displease it by introducing punitive measures against Japan, South Korea, the Philippines, Vietnam and Australia, to name a handful, in the past decade. China's narrative is underpinned by the belief, propagated by Beijing itself, that its dominance of Asia is inevitable, and resistance to this historical trend is futile. Or, to answer the question posed at the start of this article in the affirmative, the post-American order in the region will be Sinocentric.
The development finance battle
An examination of the regional power balance -- military, diplomatic and economic -- however, shows a much more complex picture.
A good proxy for the economic battle playing out in Southeast Asia is development funding, as it represents the level of commitment of foreign governments, and, in the case of China, the party-controlled, state-owned enterprises, to building a stake in the region.
Here, according to recent research by the Lowy Institute in Sydney tracking development spending and aid in Southeast Asia over six years from 2015, the figures show a region that is highly contested, rather than dominated by China.
Beijing was the region's largest development partner during this period, but most of the funds it disbursed were concentrated in three countries: Indonesia, Laos and Cambodia. About 90% of China's loans were non-concessional, and nearly all were used to finance infrastructure.
Traditional partners, including advanced economies like Japan, the U.S., Germany and more recently South Korea, "provide more balanced support across the region and development sectors, with a heavier focus on governance," the Lowy report says.
China also promises much more than it delivers. From 2015 to 2021, China signed projects in the region worth about $12 billion a year, which was more than double the amount of money actually disbursed. "China is consequently by far the dominant player in terms of commitments across most infrastructure sectors," according to Lowy, "but in terms of disbursements or projects delivered, China faces significant competition."
Often forgotten in geopolitical calculations, the World Bank and the Asian Development Bank (ADB) remain large providers of loans in the region, just behind China, with much of their funds directed to poorer countries. The ADB played an outsized role in providing funds during the COVID pandemic, when China went financially missing.
In recent years, the biggest trend, in the region and globally, has been the sharp fall in Chinese lending. COVID played a role, but so did Beijing's mounting problems as an overextended creditor in Africa and Asia, and internal criticism at home about BRI corruption and waste.
Chinese investment and lending in Southeast Asia, like the Chinese economy itself, has yet to find a post-COVID settling point. Beijing will remain a significant player whatever happens, but the frothy, early days of the BRI are behind us.
The sharper focus on the region from the U.S., Japan and South Korea, and also potentially Australia, which is preparing a new regional economic engagement strategy to launch in September, means Beijing will not have the field to itself.
Still, it may be difficult to shift the sense of inevitability in Southeast Asia that China will emerge as the dominant force in the region.
"History is never preordained, but there is an increasing fatalism in Southeast Asia about China's rise to become a regional hegemon," said Ben Bland, the director of the Asia-Pacific program at Chatham House in London. "If Southeast Asian nations want to prevent this from happening, they will need to develop a stronger collective bargaining position, which has not been possible in the past because of their reluctance to pool sovereignty in the way that, say, the European Union does."
The stability of the leadership in many ASEAN nations has probably helped Beijing sell its message and solidify ties.
The Sultan of Brunei, Lee Hsien Loong of Singapore, Hun Sen (who effectively handed over office to his son in Cambodia after managed elections in July), Joko Widodo of Indonesia, Prayut Chan-O-Cha of Thailand (who is due to retire) and Nguyen Phu Trong of Vietnam have all been in power for most of Xi Jinping's time in the highest office.
U.S. President Joe Biden poses with Southeast Asian leaders during the 2022 ASEAN summit in Phnom Penh, Cambodia, on Nov. 12, 2022. The U.S.'s ability to commit more economic resources to Southeast Asia is limited.   © Reuters
"To some extent, the relatively high degree of continuity in Southeast Asian elite politics has aided relationship building with senior Chinese leaders," said Bland.
There are a number of wild cards, which mostly favor Beijing. The most important is the seriousness and staying power of Washington's commitment to Southeast Asia, as Trumpian domestic politics increase pressure to pull resources home.
Southeast Asian nations' military alliances with Japan, South Korea, the Philippines and Australia have all been strengthened in recent years. The ability of the U.S. to commit more economic resources to the region, though, is limited.
While countries like Cambodia are acutely sensitive to being seen as subordinate to China, they seem resigned to playing that role. Few are caught up in the kind of ideological debates that prevail in Washington.
The catchphrase that one hears throughout Southeast Asia to describe foreign policy is "friends to all, enemies to none," which is another way of telling the U.S. the nations will sit out of any conflict.
"We don't see China from an ideological perspective," said one Indonesian official, "but as just another country."</t>
  </si>
  <si>
    <t>MANILA/HANOI -- Vietnam reportedly plans to fortify its military presence on the Spratly Islands in the South China Sea, where it is locked in territorial disputes with China and the Philippines.
The project, led by Vietnam's Defense Ministry and navy, involves constructing and expanding military and other facilities on Pearson Reef and Pigeon Reef, over which Hanoi holds effective control, the Manila Times reports.
A Vietnamese document, cited by the Philippine newspaper, reportedly says that potential risks for maritime conflicts in the South China Sea and Spratly Islands increase regional uncertainties.
By building up Hanoi's presence in the Spratlys, "military pressure to neighbor countries can be increased," the document reportedly says.
The plan, with an estimated budget of 6.4 trillion dong ($270 million), reportedly includes dredging and landfill work to create land for a massive dock, as well as upgrades to missile and anti-aircraft installations.
Hanoi reportedly intends to build housing for not only military personnel, but also civilians, along with transportation, energy systems, and facilities for wastewater treatment and waste disposal.
In response to an inquiry by Nikkei, Vietnamese Foreign Ministry spokesperson Pham Thu Hang said she did not have information about the Manila Times article.
Vietnamese Foreign Ministry spokesperson Pham Thu Hang. (Photo by Yuji Nitta)
"Thousands of trees will be planted on those islands to hide its fortifications and blindages," a person familiar with the situation told Nikkei, adding the militarization of islands by Vietnam poses great threat to the nearby Philippines.
According to a December report by the Washington-based Center for Strategic and International Studies, Vietnamese landfill work in the Spratlys accelerated in the latter half of 2022, and about 220 hectares of new land had been created over the course of a decade.
China and the Philippines have their own conflicting claims in the island group.
"This new round of dredging from Vietnam may also give other claimants such as China or the Philippines an excuse to conduct additional dredging of their own in response," said Harrison Pretat, associate director with the Asia Maritime Transparency Initiative at CSIS.
China already has numerous ships deployed in the South China Sea, where it has been building its own militarized artificial islands.
A 2016 ruling by an arbitration tribunal in The Hague rejected Chinese territorial claims in the South China Sea. Beijing has maintained effective control over Scarborough Shoal even after the decision. Manila says China has interfered with Philippine ships in the Spratlys. This month, the Philippine Coast Guard accused China of firing water cannons at its vessels.
Manila has effective control over Pag-asa Island, which is part of the Spratly group.
The South China Sea plays an important role in international shipping, and there are concerns that exclusionary territorial claims and escalating military buildups could pose security risks to sea lanes.
China and the Association of Southeast Asian Nations agreed last month on guidelines for negotiating a code of conduct in the South China Sea. But not all ASEAN members see eye to eye on the maritime situation.</t>
  </si>
  <si>
    <t>JAKARTA – South-east Asian leaders can expect a busy week from Tuesday as they gather for an annual summit in Jakarta to tackle challenges that include the Myanmar crisis and quelling tensions over China’s new national map, which claims sovereignty over disputed areas in the South China Sea.
The 43rd Association of South-east Asian Nations (Asean) Summit, from Tuesday to Thursday and hosted by rotating chairman Indonesia, promises to deliver agreements including on the development of green infrastructure and resilient supply chains, food security, and the digital economy and payment ecosystem.
President Joko Widodo is expected to chair 12 summits, including the plenary and retreat sessions of the Asean Summit, the East Asia Summit and the Asean Plus Three Summit, as well as 13 bilateral meetings.
Indonesia is pushing efforts to accelerate the process of decision-making within the bloc, particularly in times of crises. As a basic principle, decisions in Asean are based on consultation and consensus.
“In the future, Asean will encounter many situations that require quick decisions. Asean will face several emergency situations, because the world’s challenges are getting bigger. This is a necessity, it would be better for Asean to prepare itself to maintain its centrality,” said Indonesian Foreign Minister Retno Marsudi at a press briefing last Monday.
At least nine member states, as well as prospective member Timor-Leste, which will be represented by Prime Minister Xanana Gusmao, are expected to attend the summit.
Myanmar’s ruling military junta is still banned from formal Asean summits and may not send a non-political figure as in previous meetings.
Top representatives of the bloc’s nine dialogue partners, including United States Vice-President Kamala Harris and Chinese Premier Li Qiang, are also set to attend.
Hot-button issues
The focus of this week’s meeting is the development and strengthening of Asean cooperation with external partners, and hot-button issues such as the Myanmar crisis and the Code of Conduct (COC) in the South China Sea.
Ms Retno has said that the five-point consensus adopted in April 2021 remains the main guidance for the grouping in resolving the crisis in Myanmar, and leaders will review only its implementation.
The consensus calls for a dialogue among all parties, an immediate halt to violence in Myanmar, the appointment of an Asean special envoy to facilitate mediation, humanitarian assistance and a visit by an Asean delegation to Myanmar to meet all concerned parties.
Another issue that could be discussed at the summit is China’s new map and its possible impact on ongoing negotiations on the COC.
Beijing’s Ministry of Natural Resources last Monday issued a map featuring a 10-dash line that includes the waters off the South-east Asian nations’ coasts, as well as part of the north-east of India, triggering objections from the Philippines, Malaysia, Vietnam, Taiwan and India.
Philippine media, citing the country’s Department of Foreign Affairs, reported that President Ferdinand Marcos Jr would push for a joint statement in the Asean Summit to address China’s actions in the South China Sea.
Ms Retno told The Jakarta Post that she would not be surprised if several countries raised the latest developments in the disputed sea during the summit, adding: “It’s not a new issue for us.”
She also told journalists last Thursday that Indonesia maintains its position “that has always been conveyed consistently, namely that any line drawn, any claim made must comply with Unclos 1982”, referring to the United Nations Convention on the Law of the Sea.
Asean countries and China have been trying for years to formulate a legally binding COC to govern the South China Sea, one of the world’s busiest waterways that is also the site of overlapping claims by China, Taiwan and four Asean states – Brunei, Malaysia, the Philippines and Vietnam.
During Indonesia’s chairmanship, Asean countries and China have agreed to speed up the negotiation process of the COC and formulate practical guidelines “to ensure that the COC continues to be effective and actionable”, Mr Rolliansyah Soemirat, director of Asean political security cooperation in Indonesia’s Foreign Ministry, said last Friday.
The guidelines “summarise aspirations” to complete the COC in three years or less, but he added: “Given the complexity of the elements in the COC, the parties involved have been very careful so that a breakthrough is needed to accelerate the process.”
The COC is expected to reflect international norms, principles and rules that are in harmony with and refer to international law, especially Unclos, with the aim of achieving a stable, safe and peaceful South China Sea region, he said.
The statement, however, did not comment on the map.
Dr Adriana Elisabeth, an international relations lecturer at the University of Pelita Harapan, said that in the light of recent developments, Indonesia should try to facilitate dialogues between China, Asean countries and Taiwan on the South China Sea to improve the situation and secure the future of the region. But she warned that it will be a very long process.
“China will never give up its claim. The new map projects China’s modern geopolitics perspective due to richness of natural resources within the South China Sea. At the same time, Asean will face another hard time convincing China about the COC,” she told The Straits Times.
She added: “The COC is still valid, but if China does not agree, this will remain a regional challenge or threat of open conflict in the future.”</t>
  </si>
  <si>
    <t>Li Qiang also calls on neighbours and Asean to oppose ‘new cold war’ and manage differences with Beijing
China still on track to hit annual economic growth target of around 5 per cent, he reassures regional leaders at Asean Plus Three meeting Chinese Premier Li Qiang has called on Japan, South Korea and Asean to support Hong Kong’s bid to join the world’s largest free-trade pact.
Speaking in Jakarta on Wednesday, Li said Asean, China, Japan and South Korea should promote regional economic integration together.
“I hope all parties will support Hong Kong to become one of the new members of the Regional Comprehensive Economic Partnership,” Li said, citing Beijing’s drive to expand trade and mobility within the Asia-Pacific.
The 15-member RCEP deal currently consists of the 10 Asean nations plus China, Japan, South Korea, Australia and New Zealand – all major trading partners of Hong Kong.
Hong Kong formally requested to join in January last year, when the free-trade pact took effect for the inaugural 10 economies.
In the face of heightened tensions with neighbours, the Chinese leader also urged Tokyo, Seoul and Asean to “oppose a new cold war” and manage their differences with Beijing.
Li said disagreements and disputes between nations sometimes stemmed from misconceptions or perceived conflicts of interest, while at other times they stemmed from “some undue external interference” – in possibly a veiled dig at the United States.
His comments came during a meeting between leaders of the Association of Southeast Asian Nations member states as well as China, Japan and South Korea.
“The key is for all of us to face up to problems, eliminate misunderstandings and manage our differences,” Li told the Asean Plus Three summit.
“It’s very important at present to oppose taking sides, bloc confrontations and a new cold war,” he said.
Some politicians and pundits have characterised the escalating competition between Washington and Beijing as another cold war, but opinion is divided among observers on whether this is an accurate framing for the bilateral relationship.
Many countries, including those in Asia, have found themselves caught in the middle as rivalry intensifies between the two powers.
India lodges formal protest with China over new map that lays claim to disputed territory
China and Japan, South Korea and Asean countries shared a common home, Li said.
“If there is peace and prosperity, we all benefit, while if there are upheavals and chaos, we all suffer.”
Li, China’s No 2 official, said the country was on track to achieve its annual economic growth target of around 5 per cent for 2023, noting that would create more opportunities for other economies in the region and the world.
China sparked outrage last week among its Asean neighbours, including Indonesia, Malaysia and the Philippines, by issuing a new map asserting its claims over nearly the entire South China Sea.
The “standard map” posted on the website of China’s Ministry of Natural Resources showed a U-shaped “10-dash line” aligning with China’s long-held claims over the South China Sea, a vital maritime corridor that enables trillions of dollars in global trade annually.
Beijing’s ties with Tokyo and Seoul are at a low ebb as China grows increasingly frustrated with its neighbours’ tilt towards the US.
In a separate meeting between China and Asean on Wednesday, Li said Beijing and the 10-member bloc had built “firmer” political mutual trust over the past decade, deepened their cooperation in security and taken “more practical” actions to maintain regional stability.
“As long as we continue to adhere to the right path, no matter what storms we go through in the future, the cooperation between China and Asean will be unbreakable, stable and far-reaching,” he said.
He said China was moving faster than expected to meet its goal of importing US$150 billion worth of agricultural products from Asean countries in the five-year period ending in 2026, with more than US$55 billion bought so far.
China’s exports to Asean – its largest trading partner – declined 2 per cent from a year ago in the first seven months of the year in dollar terms while imports dropped by 6.3 per cent, according to Chinese customs data.</t>
  </si>
  <si>
    <t>JAKARTA -- Leaders from the Association of Southeast Asian Nations met Chinese Premier Li Qiang in Jakarta on Wednesday as Beijing's new territorial map adds to tensions over the South China Sea.
Speaking at the opening of the meeting, Indonesian President Joko "Jokowi" Widodo, this year's ASEAN chair, stressed the need to realize "concrete cooperation that is mutually beneficial" to Southeast Asia and China.
"This can only be done," he added, "if we have trust in each other, which, of course, must be built and maintained by all parties."
Li likewise danced around the controversy created by China's new map. "As long as we both keep to the right path, no matter what storm may come, China-ASEAN cooperation will be as firm as ever and press ahead against all odds."
He also stressed the parties' deepening economic cooperation in areas such as trade and infrastructure development.
"We seek common ground while setting aside differences," he said, adding that disagreements should be properly handled "through dialogue and consultation."
He also spoke of "consistently deepening practical cooperation in traditional and nontraditional fields."
Despite their economic ties to China, ASEAN members face a number of security challenges with the world's second-largest economy, most notably in the South China Sea. China has overlapping claims with several Southeast Asian countries in the waters, which hold rich fishing grounds and have become a crucial trade route.
Li, right, attends the ASEAN summit in Jakarta on Sept. 6. (Photo by Nana Shibata) 
These challenges grew more tense recently when Beijing revealed a new territorial map that includes the controversial "nine-dash line," a border claim that encompasses almost the entire South China Sea.
So far, Malaysia, the Philippines and Vietnam have protested China's new map, and Wednesday's summit could put the issue under greater scrutiny.
Another key topic at the ASEAN-China meeting was prolonged negotiations over a Code of Conduct for the body of water. At a meeting of ASEAN foreign ministers in February, ministers reaffirmed the bloc's commitment to wrapping up talks with China "as soon as possible" to deal with territorial disputes in the area.
After Wednesday's summit meeting, Indonesian Foreign Minister Retno Marsudi told reporters that China and ASEAN had adopted guidelines for accelerating the early conclusion of an effective and substantive code of conduct.
On the economic front, China and the bloc agreed to strengthen ties with new cooperation in the fields of digital and green economies and supply chains, according to Marsudi.
Increasingly complicated relations with the U.S. and Europe only add impetus for China to show the world that Beijing is strengthening ties with ASEAN. While U.S. President Joe Biden is skipping the meeting in Jakarta, China is growing its influence with ASEAN as a major investor in infrastructure projects.</t>
  </si>
  <si>
    <t>JAKARTA – Chinese Premier Li Qiang on Wednesday rode on Indonesia’s first high-speed railway that was financed by a loan from Beijing, after earlier commending how Asean and China had maintained open markets for mutual benefit and cooperation.
The US$7.3 billion (S$9.9 billion) railway is one of China’s Belt and Road Initiative (BRI) projects. Following delays due to various factors including the Covid-19 pandemic, the 142km railway connecting Jakarta to the city of Bandung is now scheduled to commence operations on Oct 1.
At the Asean-China Summit earlier, Mr Li hailed the new opportunities created for both sides through “a steady stream” of BRI projects, and the “solid progress” in building the New International Land-Sea Trade Corridor, a major trade and logistics passage established jointly by China and Asean.
He also noted that China and Asean have been each other’s top trading partners in the past three years, with the two-way trade volume reaching over US$970 billion in 2022, double from a decade ago.
“China and Asean see each other’s development as important opportunities, and we have kept markets open to each other,” he said.
Indonesian President Joko Widodo had opened the Asean-China Summit, acknowledging China’s role as Asean’s comprehensive strategic partner.
He also lauded its accession to Asean’s Treaty of Amity and Cooperation in South-east Asia (TAC) 20 years ago. The TAC governs interstate relations in the South-east Asia region and beyond.
On top of such mutually beneficial cooperation, trust needs to be built and maintained by all parties, Mr Widodo stressed.
“One of (the ways to ensure trust) is by respecting international law. Trust and concrete cooperation can be a positive force for stability and regional peace,” he said, without mentioning any particular issue.
The joint summit gave Asean leaders the opportunity to discuss speeding up negotiations on the code of conduct to govern the waters of the South China Sea with China. Overlapping territorial claims in the waterway by China, Taiwan and four Asean states – Brunei, Malaysia, the Philippines and Vietnam – continue to pose challenges for the regional bloc.
A new Chinese map issued recently claiming sovereignty over a larger area has irked several Asean nations.
Making his address after Mr Widodo’s, the Chinese Premier stressed that China and Asean have maintained close exchanges and communication, respected each other’s development path and accommodated each other’s major concerns “no matter how the international situation evolves”.
Indonesian President Joko Widodo had opened the Asean-China Summit, acknowledging China’s role as Asean’s comprehensive strategic partner.
PHOTO: EPA-EFE
“We both have a relentless pursuit of peace, we both have a strong aspiration for development. We both take real actions to preserve regional stability,” Mr Li said through an interpreter.
“As long as we keep to the right path, no matter what storm may come, China-Asean cooperation will be as firm as ever, and press ahead against all odds. And we each will achieve greater development and progress in the course of such cooperation,” he added.
Later, at the Asean Plus Three Summit attended by Asean members as well as China, Japan and South Korea, Mr Li said disagreements and disputes may arise between countries due to misperceptions, diverging interests or external interferences.
He reminded leaders to keep differences in check, adding in a thinly veiled reference to the United States: “It is important now to oppose taking sides, bloc confrontation and a new Cold War.”
China has strongly criticised any formation of US-backed blocs in the region, viewing them as attempts to contain its rise.
Asean leaders also held separate summits on Wednesday with the leaders of several big powers such as the US, Japan, South Korea and Canada.
At the Asean-US meeting, US Vice-President Kamala Harris said that the US has an “enduring commitment” to South-east Asia and, more broadly, the Indo-Pacific.
“The defence and deterrence commitments of the United States and our security presence in the Indo-Pacific help protect our homeland and ensure regional stability. It is therefore in our vital interests to promote a region that is open, interconnected, prosperous, secure and resilient,” she added.
Ms Harris said the US has a shared commitment to international rules and norms on such pressing national and regional issues as the crisis in Myanmar, where a military coup in 2021 has sparked unrest and violence in the country.
The US will continue to support Asean’s five-point peace plan to deal with the crisis in Myanmar, she said, adding: “The United States will continue to press the regime to end the horrific violence, to release all those unjustly detained and to re-establish Myanmar’s path to inclusive democracy.”
The US has expanded ties with Asean during the term of President Joe Biden, investing in infrastructure and the digital economy, launching major initiatives to address the climate crisis and health security, and expanding cultural and educational exchange programmes, she said.
The first-ever US-Asean Centre will be established in Washington through a public-private partnership to facilitate official Asean engagements and further support exchanges between the people, businesses and academic institutions, she said.
Ms Harris urged leaders to invest in a long-term vision as they address present global challenges.
“We must look 10, 20, 30 years out, and measure our current steps against that vision. The United States and the nations of South-east Asia share many long-term interests and priorities, as well as a long-term vision.”</t>
  </si>
  <si>
    <t>Jakarta. Chinese Premier Li Qiang on Wednesday tried to bring ASEAN’s attention to the skyrocketing two-way trade with no words on Beijing’s new controversial map.
China has been under the spotlight for its new standard national map that lays claims over the crucial waterway South China Sea. The South China Morning Post wrote that the demarcation overlapped with the exclusive economic zones of several Southeast Asian nations, including Vietnam, Malaysia, and the Philippines. According to media reports, the new map already sparked protests from the said ASEAN countries.
Li has just met Southeast Asian leaders at the 26th ASEAN-China Summit in Jakarta. Neither Li nor President Joko “Jokowi” Widodo mentioned China’s controversial map, or at least during the opening session that was open for media coverage. The rest of the meeting took place behind closed doors.
Amid the rising tension over the new map, Li brought up strong relations between his country and the regional block on the economic front.
“China and ASEAN see each other’s development as important opportunities. We have kept markets open to each other. Last year, our two-way trade volume reached over $970 billion, more than double the volume a decade ago. We have been each others’ top trading partners for three years running,” Li told the forum.
Read More:US, Japan, Australia Plan Joint Navy Drills in Disputed South China Sea
In 2021, Chinese President Xi Jinping pledged to buy up to $150 billion worth of agricultural products from ASEAN over the next five years. Agricultural goods are pivotal to ASEAN-China trade. Government data shows that the two-way trade of agricultural products hit $61 billion in 2022.
“To date, over $55 billion worth of these products have been imported, faster than expected,” Li said.
He ended his remarks by saying that both ASEAN and China had a relentless pursuit of peace. 
“No matter what storm may come, China-ASEAN cooperation will be as firm as ever and press ahead against all odds,” Li Qiang said.
Jokowi said that China was one of ASEAN’s four dialogue partners that had a comprehensive strategic partnership with the Southeast Asian bloc. Two decades have passed since China acceded to ASEAN’s non-aggression pact, the Treaty of Amity and Cooperation (TAC).
“We need to translate all this into mutually beneficial concrete partnerships, and this is only possible with mutual trust. And mutual trust is something that everyone must build and maintain,” Jokowi said.
Xi Jinping’s absence at the 43rd ASEAN Summit was to be expected. According to a senior diplomat Sidharto Suryodipuro over the weekend, China has always sent its premier to attend ASEAN summits.</t>
  </si>
  <si>
    <t>JAKARTA -- China is forging new economic ties with the Association of Southeast Asian Nations, while U.S. President Joe Biden's absence from the gathering of the bloc's leaders in Jakarta this week highlights Washington's failure to challenge its rival's dominance in the region.
Despite tension over China's new territorial map, China and ASEAN leaders on Wednesday signed several new documents -- including to make agriculture "a new growth engine" and to ensure food security in the region.
"The leaders also agreed ... on the ASEAN-China [free trade agreement] 3.0 upgrade, which covers new cooperation in the areas of digital economy, green economy and supply chain," Indonesian Foreign Minister Retno Marsudi told reporters after the ASEAN-China Summit, which was attended by Chinese Premier Li Qiang. Marsudi said the controversy over China's map was not discussed.
Also on Wednesday, Li went for a test ride on the China-backed Jakarta-Bandung high-speed railway, which will begin commercial service in October. Indonesia's coordinating minister for maritime affairs and investment, Luhut Pandjaitan, said after accompanying Li on the ride that Beijing would be "very happy if they can also get involved" in another plan to further connect the line to Surabaya, the biggest city in East Java province.
"I think with [China]'s experience of building 41,000 kilometers of high-speed rail, we need to consider" partnering with China again, Pandjaitan added.
Meanwhile, the ASEAN-U.S. Summit, where Biden was represented by Vice President Kamala Harris, seemed to have produced no concrete outcomes. Apart from reiterating the "defense and deterrent commitments" of the U.S. in the region, and that "ASEAN is at the center of America's commitment to the Indo-Pacific," Harris only announced a plan to establish "the first-ever" U.S.-ASEAN Center in Washington.
"The center will facilitate a visual ASEAN engagement and support further exchange between our people, businesses and academic institutions," she said in her opening remarks.
In the bilateral meeting with Indonesian President Joko Widodo, Harris said the U.S. would "continue to work with Indonesia to build a resilient supply chain, including for the critical minerals required to expand our clean energy economies."
U.S. Vice President Kamala Harris, fifth from left, joins hands with ASEAN leaders at a summit in Jakarta on Sept. 7. (Pool photo)
Harris and Li are scheduled to sit in the same room during the East Asia Summit on Thursday, a gathering of ASEAN leaders and several of its dialogue partners, including Australia, India, Japan, New Zealand, Russia and South Korea.
Teuku Rezasyah, an international relations expert at Indonesia's Padjadjaran University, thinks the U.S. remains a leader in the Indo-Pacific region in terms of geopolitics and security. He cited as an example the multinational military drills led by the U.S. and Indonesia called Super Garuda Shield currently taking place in East Java, an exercise that keeps expanding as more countries participate.
"However, we have to admit, China's economic influence [with its] trade, investment and infrastructure partnerships [with ASEAN countries] is extraordinary," Rezasyah said. "This can perhaps serve as a lesson for the U.S. to immediately take the lead again through strategic and practical cooperation in the region."
He noted the absence of public statements by ASEAN leaders directly attacking China's new territorial map during the ongoing summits despite previous rejections by some member countries, saying it was probably because ASEAN leaders did not want Li to abandon the meetings.
The leaders have reportedly expressed disappointment over Biden's absence at the summits, with this year's ASEAN chair Indonesia expressing "shock" and "disappointment" over the White House's decision, according to a senior diplomat. Biden will instead join the G20 summit in India this weekend before heading to Vietnam.
Xi, meanwhile, is known to have regularly dispatched the Chinese premier in his stead to ASEAN meetings.
ASEAN's disappointment "is a reflection of how much the U.S. presence is badly needed" and how ASEAN member states "feel unbalanced without Biden's presence," noted Julio Amador, CEO of Amador Research Services in the Philippines.
"Nevertheless, the U.S. is well represented by its second most senior elected official along with a ministerial-level delegation," he added.
Don McLain Gill, an analyst and lecturer at De La Salle University at Manila, said the implications of both Biden and Xi's absence remain relatively the same for the 10-member bloc.
"From ASEAN's perspective, such absences show a lack of genuine interest by the heads of state to engage multilaterally with the bloc," Gill said. "Rather, it gives an impression that both states remain largely interested in power competitions through selective engagement."</t>
  </si>
  <si>
    <t>JAKARTA – Asean has made progress in planning for its long-term goals as well as on specific areas of cooperation, Singapore Prime Minister Lee Hsien Loong said on Thursday.
Speaking to local reporters at the close of the 43rd Asean Summit and related meetings, PM Lee also held up the gains made through cooperation within the bloc, as well as externally.
He and other regional leaders have spent the past week in Jakarta, where they had talks among themselves as well as with external partners.
These included summits with Australia, Canada, China, India, Japan, South Korea, the United Nations and the United States, as well as large-group meetings.
On Asean’s internal agenda, PM Lee noted how the bloc has a long-term plan for what it wants to achieve in its next phase, in the form of the Asean Vision 2045.
In 2015, the grouping’s leaders agreed on a road map for the bloc, Asean 2025: Forging Ahead Together, to work on collectively raising the region’s profile and ensuring the prosperity of each member state.
The group set up a high-level task force to discuss the extension of this plan, the Asean Vision 2045, which will spell out how the bloc can continue its work post-2025 and achieve its aims for the next 20 years.
PM Lee said that discussions had also involved specific areas of cooperation, including the digital economy, and he highlighted how Asean had embarked on discussions on its Digital Economy Framework Agreement.
This trade pact – for which the bloc launched negotiations just before the Asean Summit – seeks to facilitate more seamless cross-border digital trade and allow for online trade across countries in the region to become faster and more convenient.
“If it is done well, it has a lot of promise, because the digital economy is one of the vibrant areas in many of the Asean countries. And if we can work together, I think the dividends are considerable,” said PM Lee.
Asked about the outlook for the Singapore economy, he noted that there was some sluggishness, but said: “We don’t think that we are going to a recession this year. But what happens next year, we are not sure yet.”
The leaders also touched on the green economy, and PM Lee said that what came up in the discussions was sustainable energy and cooperation, as well as the Asean Power Grid.
This potential project, which would bring together sources of green electricity in the region and make energy consumption more sustainable, is an essential element of sharing renewable energy resources, he added.
“Because when you are talking about renewable energy, whether it is wind, whether it is solar, it is intermittent. Clouds come, the rains come, the winds can stop. And you need to have backup against intermittency,” said PM Lee.
“And that means you need a grid. And that means you need investments. So, that is a major piece of cooperation.”
Asean’s economy, in the global context, is a bright spot because the world’s economy is not that vibrant now, said PM Lee, adding that the region is working to make sure its growth continues.
The region needs to enhance its capabilities, competitiveness and cooperation so that whatever the economic environment is, it can do better for its people, and he said that Asean is trying to do that.
The Prime Minister noted there is also work being done on how Asean operates, including its secretariat and secretary-general.
Discussions on this touch on their functions and powers, and will help Asean to work better together, he added.
Turning to the external environment, PM Lee said leaders talked about the Asean Outlook on the Indo-Pacific (AOIP) during their discussions over the past week, adding that they have progressively put content into this concept.
The AOIP lays out the bloc’s common position on regional cooperation, security and prosperity, as well as its stance on not taking sides with any major power competing for influence in the region.
“It has become a framework which enables us to cast our cooperation with the rest of the region,” said PM Lee.
Responding to a question on what he thought about US President Joe Biden skipping the events in Jakarta, PM Lee said that Asean would have been very happy if he came, but Vice-President Kamala Harris came, and the bloc had good engagements with her.
“And I think that what is important is the substance of the cooperation, as much of this as a symbolism. It is better if we have both. But in any case, there is a substance,” he added.
PM Lee also answered a question on the South China Sea, which has overlapping territorial claims by China, Taiwan and four Asean states – Brunei, Malaysia, the Philippines and Vietnam.
Recently, tensions have also simmered over China’s new national map featuring a 10-dash line that includes the waters off the South-east Asian nations’ coasts as well as part of the north-east of India, triggering objections from several sides.
Asean is currently working on a code of conduct in the waterway, and PM Lee said that progress has been made.
He brought up how Asean has a Declaration of Conduct of Parties, which was inked between Beijing and Asean in 2002, and calls for peaceful resolution of disputes in the South China Sea.
“It is important that we work hard at it. We have made some progress, but it will take some time. But nevertheless, it is better that we are talking about this positive agenda on the South China Sea,” added PM Lee.
“So that even if there are incidents which happen, or untoward developments, you have got something positive which we are working on and which can be the basis for the participants.”
Touching on what Asean is doing to maintain its relevance, he said that Asean is not about one single spectacular thing, but instead, multiple, patient, positive things.
By accumulating all this patient work, Asean makes a difference, and has made a big difference to the world, he stressed.
Without the grouping, PM Lee pointed out, there would be no forum where leaders from countries like the US, China, Japan, India, Australia, New Zealand and Russia could come together.
Asean hosts the East Asia Summit, an annual summit comprising the bloc’s countries and eight partners.
“Because there is Asean every year, we have this forum, and it is very valuable to us. And when we speak internationally, Asean can make a statement, it carries some weight because you are talking about a substantial population,” he added.</t>
  </si>
  <si>
    <t>Chinese premier says Beijing hopes to advance talks on ‘free trade area version 3.0’ while meeting Southeast Asian leaders at business summit
The comments come amid persistent tensions over South China Sea claims and Washington’s renewed charm offensive in the region China will pursue “practical” cooperation with Southeast Asia, Chinese Premier Li Qiang said on Sunday, seeking to reassure regional leaders of his country’s focus amid persistent territorial disputes and a reinvigorated US charm offensive.
“When the world order and geopolitical conditions are unstable, honesty and faithfulness are especially precious,” Li said at the opening of the China-Asean Business and Investment Summit in Nanning, Guangxi Zhuang autonomous region.
He added that the most important thing for trade and economic cooperation was the trustworthiness of parties and whether the market policies and environment were “fair, stable, transparent and foreseeable”.
“China has always treated counterparts wholeheartedly and with sincerity, and has been especially wholehearted to Asean countries,” he said.
“We are willing to uphold our promises, to develop cooperation in all areas and to carry out practical moves on items of cooperation that have been agreed on.”
The premier also underscored China’s hopes to advance talks with the Association of Southeast Asian Nations on a “free trade area version 3.0”, which would expand on the areas covered by the Regional Comprehensive Economic Partnership (RCEP).
China and the 10 members of Asean have signed up for RCEP, as have Australia, Japan, South Korea and New Zealand.
He also highlighted trade between China and Asean, which he said had grown more than 16-fold in the two decades since the summit was launched.
Li’s address is the latest attempt by Beijing to assure its Southeast Asian neighbours that they have “priority” for China in a geopolitical environment that it describes as “turbulent” and “full of uncertainties”, particularly in relation to the United States.
China and Asean renew agreement to develop code of conduct for South China Sea
Li held several meetings with his Southeast Asian counterparts throughout the weekend on the sidelines of the four-day gathering, which ends on Tuesday.
In his meeting with his Vietnamese counterpart Pham Minh Chinh, Li said China hoped to “manage disputes” with Vietnam through communication and was determined to “defend righteousness and justice” with Hanoi.
A Chinese foreign ministry statement quoted Chinh as saying that the Vietnam-China comprehensive strategic partnership was his country’s most valued external relationship.
Deepening those relations was Vietnam’s “objective need, top priority and strategic choice”, he said.
Their meeting came after US President Joe Biden made his first state visit to Vietnam last week, upgrading bilateral relations to a “comprehensive strategic partnership”.
The move put the US on the same status as China and Russia in Vietnam’s diplomatic hierarchy.
Beijing responded to their meeting by calling on Washington to discard its “hegemonic and cold war mentality” in the region.
Li also held talks with Laotian Prime Minister Sonexay Siphandone, promising to give support to Laos as the host country of the Asean summit next year.
In discussions with Indonesian Vice-president Ma’ruf Amin, Li called for the two countries to work together to “defend the correct direction for cooperation” in the region.
Cambodian Prime Minister Hun Manet, Malaysian Prime Minister Anwar Ibrahim and Thailand’s Deputy Prime Minister and Commerce Minister Phumtham Wechayachai and Asean Secretary General Kao Kim Hourn also attended the opening ceremony.
While China has long been Asean’s biggest trading partner, Asean only become China’s biggest trading partner in 2020 – filling a position long held by the US.
Since 2018, when the trade war broke out between the world’s two biggest economies, changes in the supply chain have seen Beijing step up trade with its neighbours as manufacturers shifted from China to Asean countries.
China-Asean bilateral trade grew from US$641.5 billion in 2019 to US$975.3 billion in 2022, China’s numbers showed. But the US remained the largest source of foreign direct investment in Asean countries, according to the bloc.
Two weeks ago at the Asean summit in Jakarta, Li also voiced hopes that China’s ties with the bloc would be “as firm as ever”.
Yet, a week before the visit, Beijing released a new “standard map” with its unilateral claims to most of the South China Sea – prompting strong protests from the region, including Malaysia, Indonesia, Vietnam, the Philippines and Brunei.
China claims almost all of the South China Sea, and its growing assertiveness about its vast maritime claims has led to confrontations between the Chinese coastguard and vessels from Southeast Asian countries that also claim territory in the disputed waters, particularly the Philippines, Vietnam and Malaysia.
China has pushed for a South China Sea code of conduct with the 10-member bloc, but there has been scant progress.</t>
  </si>
  <si>
    <t>NANNING - To maintain peace and stability, Malaysia and China have agreed to have continual, open communication over the South China Sea issue, Malaysia Prime Minister Anwar Ibrahim said after his meeting with China Premier Li Qiang in Nanning on Sunday.
Datuk Seri Anwar was in the southern Chinese city for a packed 14-hour visit, reported Bernama news agency.
Mr Anwar attended the 20th China-Asean Expo, where he introduced Malaysia’s jackfruit to the Chinese market, as well as the China-Asean Business and Investment Summit.
He also witnessed the signing of three memoranda of understanding worth close to RM20 billion (S$5.8 billion), and had closed-door meetings with tech giant Huawei and China Communications Construction Company.
According to Xinhua news agency, Mr Li said that China stands ready to work more closely with Malaysia to maintain peace in the South China Sea, safeguard the Asean-centred regional cooperation framework, and advance the China-Asean Free Trade Area 3.0 negotiations to facilitate regional economic integration.
During their bilateral meeting at Li Yuan Resort, the two leaders also discussed the situation in Myanmar and the repatriation of Rohingya refugees.
“Premier Li shared the concept of a community for a shared future for mankind, which stresses principles of openness, civility, inclusiveness and mutual respect in dealing with bilateral, regional and international cooperation,” Mr Anwar said in a statement issued on Saturday.
“These values are consistent with those of Malaysia Madani,” he added.
In January, Mr Anwar unveiled the Malaysia Madani slogan, which he said will bring the country forward, noting that the word madani encompasses values including sustainability, care and compassion, respect, innovation, prosperity and trust.
He also invited Mr Li and Chinese President Xi Jinping to visit Malaysia in 2024 to commemorate five decades of diplomatic relations between the countries, reported Bernama.
“The 50th anniversary of Malaysia-China diplomatic relations is being planned together, and various activities will be held in Malaysia and China.
“Once again, I extend an invitation to Xi and Li to hold an official visit to Malaysia next year in conjunction with that celebration,” Mr Anwar said.
Mr Li said China will take the anniversary as a chance to work with Malaysia to pass on and deepen the friendship between both countries from generation to generation, reported Xinhua.
He added that China is ready to work on flagship China-Malaysia cooperation projects such as the “Two Countries, Twin Parks” and the East Coast Rail Link, while exploring bilateral collaborations in other areas.</t>
  </si>
  <si>
    <t>NANNING, China -- China has pledged to increase purchases from Southeast Asian neighbors as overall trade growth slows due to weakened demand globally and domestically.
"China is ready to import more competitive and distinctive products from ASEAN countries," Chinese Premier Li Qiang said on Sunday at a business forum attended by counterparts from the region.
The 10-member bloc has been China's largest trading partner since 2020, around the time tensions with the U.S. and other developed economies began to more seriously chafe.
In the first eight months of 2023, China's outbound shipments decreased by 5.6%, hit by declining trade with major trading partners the U.S. and EU. Imports during the same period weakened 7.6%, following a 27% drop in orders for both LCD panels and steel products.
The decline was cushioned by shipments to ASEAN, which has increasingly turned to China in lieu of Japan and other developed countries for inexpensive electrical goods and machinery.
Li's speech kicked off the four-day China-ASEAN expo that runs through Tuesday in the southern city of Nanning. Li called on regional countries to improve their connectivity and industrial supply chains.
Trade between China and the regional bloc has been lopsided, with China shipping higher value-added products to ASEAN while importing raw materials and agricultural products. ASEAN's trade deficit with China widened by 69% in the five years through 2022.
The imbalance was on display at the Sunday expo, with large numbers of Southeast Asian traders peddling durian and teak furniture. Chinese companies, on the other hand, displayed heavy machinery, electric vehicles and other high-tech items.
"We hope to trade more with Southeast Asian countries as the domestic market is sluggish," an executive of aluminum producer Guangxi Pinglu Group said at the expo. The executive added that "doing business with our major customers in the U.S. and Europe is getting tougher due to geopolitics."
China has been promoting trade with Southeast Asian countries by holding an annual expo in Nanning City. (Photo by CK Tan)
While China's total exports have slumped, one bright spot has emerged in the form of automobiles. The country overtook Japan in the first quarter of this year to become the world's largest automobile exporter.
In the first seven months of 2023, Thailand and the Philippines were among the top 10 buyers of Chinese vehicles, sales of which grew by 74% to 2.7 million units, according to the China Association of Automobile Manufacturers.
"Rising exports are directly linked to domestic weakness as manufacturers seek a safety valve to relieve capacity overhang," said Bill Russo, chief executive of Shanghai-based consultancy Automobility.
In his speech, Li also called on ASEAN to oppose "protectionism," an apparent reference to the de-risking campaign led by the U.S. and other developed economies.
"We get a lot of inquiries daily from Chinese businesses," said Safwan Nizar Johari, an official at the Malaysian consulate in Guangzhou. "These businesses say they are keen to invest in Malaysia."
Malaysia and many ASEAN members have worked to avoid being dragged into the U.S.-China conflict while capitalizing on the economic fallout. China's trade with the U.S. expanded by a modest 6% from 2017 through 2022, according to Boston Consulting Group. Over the same period, ASEAN's trade with the U.S. surged by 98%, while trade with China grew by 95%.
Hailing ASEAN's productive ties with China, Indonesian Vice President Ma'ruf Amin said on Sunday in a speech at the expo, "the integration of the regional economy is expected to overcome barriers to achieving the true potential of ASEAN-China trade."
Even as trade has expanded, China's bilateral ties are shadowed by maritime disputes. Beijing's publication of a new map last month that laid claim to most of the South China Sea drew diplomatic protests from neighbors including Malaysia, Indonesia and Vietnam.
"Indonesia -- like many other countries in the region -- is hedging, taking advantage, maximizing benefits, but mitigating risks in the face of China's rise," Dewi Fortuna Anwar, a former adviser to the Indonesian president, said last week on a podcast hosted by the Carnegie Endowment for International Peace.</t>
  </si>
  <si>
    <t>KUALA LUMPUR -- Despite slowing growth at home, Southeast Asia will remain an investment priority for China and a core target for its Belt and Road Initiative (BRI), as Beijing views the region as geopolitically important to counter U.S. influence, economists say.
Southeast Asia is also an important source of critical minerals, including nickel, for China's green technology and electric vehicle ambitions.
Investment and construction contracts under the BRI to ASEAN countries averaged around $27.9 billion from 2015 to 2019, before falling to $10.8 billion in 2021. Last year, they rebounded 72% to $18.6 billion, according to a July report by Maybank Singapore.
"BRI investments will slow in the next five years," Guonan Ma, a senior fellow at the Asia Society Policy Institute's Center for China Analysis, told Nikkei Asia. However, "Southeast Asia will still be a priority area for China for geopolitical and investment purposes in terms of its green transition. Given this constellation, Southeast Asia will still be a core part of China's BRI projects."
Wu Alfred Muluan, an associate professor at the Lee Kuan Yew School of Public Policy at the National University of Singapore (NUS), said that because China's current ties with the West are "not good," Beijing will focus on Southeast Asia and the Middle East, as the two regions are considered "powerful."
Wu pointed to Chinese officials' frequent visits to Southeast Asia as an indication of the region's importance to Beijing, as well as to counter U.S. influence: "Look at how many times Foreign Minister Wang Yi has come to Southeast Asia."
Wang traveled to Singapore, Malaysia and Cambodia in August on his first overseas trip after his reappointment as foreign minister in July.
Strategically, ASEAN sits astride critical sea lanes in the Strait of Malacca and South China Sea through which a large proportion of China's oil, gas and goods are transported, Lye Liang Fook, a senior fellow at the Singapore-based ISEAS-Yusof Ishak Institute, wrote in a note last week.
Furthermore, Southeast Asia is at the confluence of big-power competition and its strategic importance to China has grown as U.S.-China tensions continue to rise, Lye noted.
At the same time, China's private sector investments to secure raw materials and intermediate inputs, as well as to strengthen supply chains and foreign partnerships, are expected to continue in line with the country's global trade and investment drive, said Yeah Kim Leng, economics professor at Malaysia's Sunway University.
However, NUS's Wu cautioned that private Chinese companies now face difficulties in getting funds out of the country due to capital controls.
Economists, meanwhile, expressed concerns over a spillover effect of a slowing Chinese economy into the region.
"China's slowdown is a key risk for the world economy, commodities and energy markets as well as the semiconductor industry," said Lee Heng Guie, executive director of the Kuala Lumpur-based Socio-Economic Research Centre.
Prior to the COVID pandemic, China was the world's most important source of international travelers, spending $255 billion overseas and accounting for 20% of total spending in international tourism, said Lee.
However, China's sluggish domestic economy could cut growth in the ASEAN region as trade with its biggest regional trading partner drops and strict capital controls reduce the flow of funds from the Chinese private sector.
"China's slowdown will make overall ASEAN growth slower and less resilient due to declining trade with its major trading partner," said Fajar Hirawan, a senior researcher in Jakarta for the Centre for Strategic and International Studies. "Overall foreign investor sentiment for the Southeast Asian market will also deteriorate, which may affect FDI (foreign direct investment) levels and currency exchange rates."
Indonesia, ASEAN's biggest economy, is viewed by Beijing as the region's most influential country. Chinese companies dominate Indonesia's nickel-mining industries, and Indonesia is the only ASEAN country to build a high-speed railway under the BRI.
CSIS's Fajar Hirawan said the negative effects of China's slowdown may be mitigated by Indonesia's domestic consumption and commodity exports.
Given China's slowing economy, Fajar believes Beijing will take a tougher stance on the terms for debt repayments, including for the high-speed train.
"I believe during this time, China needs some capital injection due to its slowing growth [following the lifting of its] zero-COVID policy. Thus, negotiations for debt interest rate might be quite tough," said Fajar.</t>
  </si>
  <si>
    <t>National Development and Reform Commission pledges to support Yunnan with transport, logistics, energy and digital connection with southern neighbours
China urged to seek ‘cooperation opportunities with emerging markets, including Southeast Asia, to offset its falling trade with developed countries’
China has vowed to push its southwestern province of Yunnan as a gateway to the vast market of South and Southeast Asian nations to forge closer ties with the region and offset US-led geopolitical pressure and economic rivalry.
Billed as the “pivot to South and Southeast Asia”, Yunnan has been tasked with building the “high land” of opening up, according to a statement by the National Development and Reform Commission (NDRC), the country’s top economic planner.
It pledged to further support Yunnan, which borders three Southeast Asian neighbours – Myanmar, Vietnam and Laos – to “speed up the construction of major international corridors” via transport, logistics, energy and digital information connection with its southern neighbours.
China and Asean renew agreement to develop code of conduct for South China Sea
“[We will support Yunnan] to expand and strengthen its unique advantaged industries and support the province to actively undertake domestic and international industrial transfers,” the agency said.
China has moved closer to Southeast and South Asia in recent years as its relations with the US have deteriorated. And it has strengthened the push of the mega go-global strategy of the Belt and Road Initiative in the region while the flagship project has encountered backlash in Europe.
The 10-member Association of Southeast Asian Nations (Asean) has become China’s largest trading partner in recent years. The bloc has risen as the destination for foreign investors diversifying their supply chain away from China.
Asean is a key part of the Regional Comprehensive Economic Partnership trade pact that also includes China, Japan, South Korea, Australia and New Zealand.
Liu Yuanchun, president of Shanghai University of Finance and Economics, has called on Beijing to deepen economic cooperation with Asean countries, viewing the region as a buffer against US moves to decouple from China.
“[The region] plays an important intermediary role and an indirect bridge between China and the West,” Liu said in an interview with Chinese media The Paper on Thursday.
Last year, China’s trade with Asean was US$975.3 billion – up from US$641.5 billion in 2019 – which is a 24-fold increase since 2000, according to customs data.
Beijing faces backlash from neighbours over expanded territorial claims in new official map
Liu said China must proactively explore more cooperation opportunities with emerging markets, including Southeast Asia, to offset its falling trade with developed countries.
The country’s exports to the European Union and the US declined by 19.58 per cent and 9.53 per cent in August respectively, year on year, according to China Customs.
China’s exports to Asean fell 13.25 per cent from a year earlier in August, according to customs data.
In the first eight months of this year, the total trade value between China and Asean was 4.11 trillion yuan (US$562.3 billion), accounting for 15.2 per cent of China’s total foreign trade.
China signed 470 investment and cooperation projects with Asean countries, with a total investment of 487.3 billion yuan (US$66.6 billion), of which more than 65 per cent is in the manufacturing sector, during the China-Asean expo in September.</t>
  </si>
  <si>
    <t>Citing slow progress on a pact with China, Ferdinand Marcos Jnr said Manila had approached its neighbours to discuss a separate code of conduct
He said the ‘more dire’ situation in the disputed waterway required the Philippines to partner with allies and neighbours to maintain peace The Philippines has approached neighbours such as Malaysia and Vietnam to discuss a separate code of conduct regarding the South China Sea, its president said on Monday, citing limited progress towards striking a broader regional pact with China.
Relations between Beijing and Manila have grown more tense under President Ferdinand Marcos Jnr, who has increasingly complained about China’s “aggressive” behaviour while rekindling strong ties with the Philippines’ sole treaty ally, the United States.
Speaking in Hawaii at a live-streamed event, Marcos Jnr said escalating tension in the South China Sea required the Philippines to partner with allies and neighbours to maintain peace in the busy waterway, with the situation now “more dire”.
Beijing and Manila trade blame over ‘provocative’ moves with ship collisions near disputed shoal
“We are still waiting for the code of conduct between China and Asean and the progress has been rather slow unfortunately,” Marcos Jnr said, referring to efforts by the grouping of Southeast Asian nations.
“We have taken the initiative to approach those other countries around Asean with whom we have existing territorial conflicts, Vietnam being one of them, Malaysia being another and to make our own code of conduct.
“Hopefully this will grow further and extend to other Asean countries.”
The embassies of China, Malaysia and Vietnam in Manila did not immediately respond to a request for comment on a possible code.
The remarks by Marcos Jnr followed his meeting on Friday with Chinese President Xi Jinping on the sidelines of the Asia-Pacific Economic Cooperation forum in San Francisco.
The leaders discussed ways to reduce tension in the disputed strategic waters after a series of confrontations this year.
In the past few years, Asean and China have worked towards creating a framework to negotiate a code of conduct, a plan dating as far back as 2002. But progress has been slow despite commitments by all parties to advance and accelerate the process.
Talks on components of the code have yet to start, with concerns about how far China, which claims ownership of most of the South China Sea, is committed to a binding set of rules that Asean nations want to align with existing international law.
China stakes its claim on its maps with the use of a “nine-dash line” that loops as far as 1,500km (900 miles) south of its mainland, cutting into the exclusive economic zones of Brunei, Indonesia, Malaysia, the Philippines and Vietnam.
Manila and Beijing have engaged in on-off confrontations for years as China has become more assertive in pressing its maritime claims, alarming neighbours and other nations operating in the key trade route, such as the US.
China has turned submerged reefs into military installations equipped with radar, runways and missile systems, some inside the Philippines’ exclusive economic zone.
“The nearest reefs that the PLA has started to show interest in … for building bases have come closer and closer to the Philippine coastline,” said Marcos Jnr, referring to the People’s Liberation Army Navy of China.
“The situation has become more dire than it was before.”
By contrast, Marcos Jnr added, the United States “has always been behind us … not only in terms of rhetoric, but also in terms of concrete support”.</t>
  </si>
  <si>
    <t>As other rival claimants scale down their rhetoric, Hanoi finds itself standing alone against Beijing’s actions in the South China Sea 
Vietnam pursues a neutral foreign policy straddling major powers China and the United States, but its emergence this year as the most strident Southeast Asian critic of Beijing’s controversial island building in the South China Sea raises questions about that stance.
Hanoi’s China policy came into focus this month, as the two neighbours locked horns over an oil drilling project in a maritime block claimed by both sides, and as Vietnamese diplomats attempted to use a communique at a summit of the Association of Southeast Asian Nations (Asean) to pile pressure on Beijing’s rising assertiveness in the disputed waters.
And with signs Vietnam is courting enhanced military tie-ups with the likes of the US, Japan and India – strategic rivals of Beijing – observers say the country could well become the deepest Southeast Asian thorn in China’s side as the rising Asian power seeks to lure the region closer under its diplomatic ambit.
Within Southeast Asia, Vietnam’s communist rulers have become isolated as they stand their ground in publicly chastising China over its actions in the strategically vital sea, through which some US$3.4 trillion in trade passed in 2016. China claims 80 per cent of the waterway under its nine-dash line maritime boundary.
Five of the seven claimants are Southeast Asian nations, but Malaysia and Brunei have scaled down rhetoric against China as they look to tap Beijing’s widening economic largesse. The Philippines – until last year the most strident critic of China’s behaviour in the sea – has watered down its resistance following last year’s election of President Rodrigo Duterte.
And at the Asean foreign ministers’ meeting from August 5 to 6, Hanoi was again alone in its defiance. Vietnamese diplomats triggered the feud after unsuccessfully trying to note in the meeting’s communique that a maritime code being negotiated between the 10-nation bloc and China was to be “legally binding”.
Southwest Cay, also known as Pugad Island, is controlled by Vietnam and part of the Spratly Islands in the disputed South China Sea. Photo: Reuters
The final statement did not include that clause, but Hanoi’s behind-the-scenes machinations invoked the fury of China. A planned bilateral meeting between the foreign ministers of the two countries was abruptly cancelled, and Chinese state media lost no time in slamming Vietnam’s actions.
China Daily said Vietnam was seeking to “sow seeds of discord” in the bloc, while Xinhua described Hanoi as a “thief crying stop thief”, referring to the Southeast Asian country’s own construction activities in the disputed area as far back as the 1980s.
Eufracia Taylor, a Singapore-based analyst with the British risk consultancy Verisk Maplecroft, said Vietnam’s actions at the summit showed it was upping the ante to deal with “the current vacuum in pushing back against China on the South China Sea”.
Taylor said the void in the push back stemmed from Manila adopting a “defeatist and softer stance” under Duterte, and Washington’s current preoccupation with North Korea.
Manila has softened its stance on the South China Sea under President Rodrigo Duterte. Photo: AFP
The US-based Asia Maritime Transparency Initiative on Friday said China was building new missile shelters and communication facilities on islands in the disputed waters, indicating its militarisation of the region has been continuing unabated. China has said it does not recognise last year’s international arbitral ruling that declared its claims to the waters were invalid.
Some observers view Vietnam’s actions at the summit as retaliation for being strong armed by Beijing into suspending a previously approved gas drilling project in an area Hanoi deems to be within its own territorial waters.
Spain-based energy giant Repsol said on August 2 that it had suspended exploratory drilling in the zone some 400km from Vietnam’s southeast coast and referred to by Hanoi as Block 136-3. No reasons were given for the suspension.
A week before Repsol’s statement, Bill Hayton, a prominent researcher of the South China Sea dispute, had cited Vietnamese sources as saying China had “threatened to attack Vietnamese bases in the Spratly Islands if the drilling did not stop”. Hayton wrote on the BBC website that China deemed the same zone as within the nine-dash line, and referred to it as “Wanan Bei-21”. Chinese officials did not respond to the allegations but admonished Vietnam’s “unilateral infringing activities”.
Le Hong Hiep, a Vietnam expert at the ISEAS-Yusof Ishak Institute in Singapore, said: “The Repsol incident shows that Vietnam has no other choice but at least to speak up against China if it wants to protect its maritime interests in the South China Sea”.
Hanoi’s decision to fold in this instance, other Vietnam watchers say, shows its communist rulers recognise the imbalance in military power between the country and its giant northern neighbour.
Taylor said while Beijing may have gotten its way this time, Vietnam’s capitulation “also exacted a cost because it forced China to show its hand”.
EMBRACE OF RIVAL POWERS
And that could hasten Vietnam’s embrace of China’s rivals. Washington this week pledged to enhance defence ties with Hanoi, with a US aircraft carrier scheduled to stop in the country next year – the first such visit since the end of the Vietnam War in 1975.
The USS Carl Vinson. Washington is to send an aircraft carrier to Vietnam next year. Photo: Reuters
India, currently embroiled in a seven-week confrontation with China on the Doklam plateau, last September pledged to give Hanoi US$500 million credit for defence cooperation. In February, New Delhi was said to be in talks to sell its surface-to-air Akash missiles to Vietnam. And Japan, Beijing’s closest regional rival, is also a benefactor of Vietnam’s military. Tokyo this year pledged to supply it six new patrol boats.
Le said Hanoi would “try to leverage these relationships, especially in the security and defence domains, to counter China’s pressures”. “It’s a natural response resulting from China’s growing maritime assertiveness, and China should not turn a blind eye to Vietnam’s resentment if it wants to keep the other major powers from interfering in the South China Sea,” he said.
But the former Vietnamese diplomat said Hanoi was unlikely to push China too hard in the near term to avoid a full-blown armed conflict which would throttle the country’s economic growth. That would in turn hurt the ruling Communist Party’s legitimacy.
Le said Vietnam’s leaders also had an eye on avoiding two things: causing embarrassment to President Xi Jinping () ahead of Beijing’s crucial autumn party congress, and being embroiled in a diplomatic row ahead of its hosting of the November Asia-Pacific Economic Cooperation summit in Da Nang. “Vietnam may therefore ratchet down its actions on the ground ...[but it] is not going to water down its rhetoric,” he said.</t>
  </si>
  <si>
    <t>https://asia.nikkei.com/politics/international-relations/asean-leaders-still-at-a-loss-over-south-china-sea-and-myanmar</t>
  </si>
  <si>
    <t>ASEAN leaders still at a loss over South China Sea and Myanmar</t>
  </si>
  <si>
    <t>VIENTIANE -- Leaders of the 10 Southeast Asian nations are taking home many concerns with tensions in the South China Sea taking center stage, even though talk of deeper economic cooperation made some headway during a weeklong summit in the Laotian capital that closed on Friday.
On the last day of the ASEAN Leaders' Summit, Philippine President Ferdinand Marcos Jr. used the international stage it afforded to condemn China's maritime aggression. Marcos told world leaders attending the East Asia Summit that Beijing continues to stoke grave tensions in the South China Sea.
"These kinds of behavior cannot be ignored, and demand of us concerted and serious efforts to truly manage our disputes in the South China Sea," he said. The East Asia Summit, a related yearly forum, includes China and the U.S.
The Philippine president cited China's recent harassment of coast guard vessels and aircraft patrolling Escoda Shoal, a major flashpoint in the disputed waterway. Marcos said it was "regrettable" that tensions remain in the area.
Marcos told Filipino reporters on Friday that "more than half" of ASEAN's members are interested in mounting joint exercises, sending vessels to the disputed waterway or participating in discussions with claimant countries. Suggesting that the Philippines is indeed attracting more support, Vietnam, Singapore and Thailand raised maritime concerns on Thursday in an ASEAN forum with China.
The president's remarks come at a fraught time in relations between China and the Philippines, exacerbated by Beijing's naked aggression on the open water. After he was elected in 2022, Marcos moved Manila closer to Washington. That dismayed Beijing, which had enjoyed close relations with the Philippines during President Rodrigo Duterte's six-year term.
Philippines' President Ferdinand "Bongbong" Marcos Jr. attends the 12th ASEAN-U.S. Summit at the National Convention Centre, in Vientiane, Laos, October 11, 2024.   © Reuters
The Philippines and the U.S. are allies as signatories to the 1951 Mutual Defense Treaty that ensures American assistance in the event of an armed attack.
The U.S. also raised similar concerns at the summit. U.S. State Secretary Antony Blinken slammed China, noting that its "increasingly dangerous and unlawful actions" in the South China and East China Seas have "injured people, harmed vessels from ASEAN nations and contradict commitments to peaceful resolution of disputes."
There may have been some progress regarding the Myanmar crisis, however. Thailand proposed to hold an "informal" ASEAN consultation in Bangkok in December on bringing peace to war-torn Myanmar, and all member nations agreed to attend.
"ASEAN should send a unified message to all parties in Myanmar that there is no military solution -- it is time to start talking," said Paetongtarn Shinawatra, Thailand's new prime minister who was attending her first ASEAN summit.
Malaysian Prime Minister Anwar Ibrahim said ASEAN countries are committed to achieving regional peace. He said that while ASEAN is "taking a lead in facilitating a lasting and peaceful resolution to the Myanmar issue," the international community should "go beyond rhetoric and play a more proactive role in supporting ASEAN's efforts." That includes providing humanitarian assistance.
ASEAN and its dialogue partners did make progress in deepening economic cooperation, notably in concluding the ASEAN-China Free Trade Area (ACFTA) 3.0. The deal will enhance trade in goods, customs procedures, trade facilitation, economic cooperation and investment.
The ACFTA 3.0 Upgrade Negotiation was rolled out in November 2022 with a view to developing a more comprehensive, inclusive and mutually beneficial agreement between the two parties.
Over the past two decades, ACFTA has significantly boosted trade and investment between ASEAN and China. The overall value of trade increased 15% in 2022, the first year of effective implementation of the Regional Comprehensive Economic Partnership (RCEP) that confirmed the Southeast Asian bloc as China's largest trading partner.
Leaders also agreed to continue projects to support emerging economic pillars, such as the digital economy, green economy, circular economy and green energy.
ASEAN and East Asian leaders also mentioned several initiatives to promote food and energy security, a diplomat who participated in the meeting noted. Even so, East Asian leaders were unable to issue a joint closing statement due to the number of widely diverging viewpoints and geopolitical conflicts at present.</t>
  </si>
  <si>
    <t>Philippine minister urges ASEAN to seal South China Sea code of conduct</t>
  </si>
  <si>
    <t>https://asia.nikkei.com/editor-s-picks/interview/philippine-minister-urges-asean-to-seal-south-china-sea-code-of-conduct</t>
  </si>
  <si>
    <t>BANGKOK -- Increasingly frequent confrontations between China and the Philippines in the South China Sea this year should impress upon Southeast Asian countries the urgency of a long-delayed code of conduct in the contested waters, Philippine Foreign Secretary Enrique Manalo said on Friday.
"We very much want to find ways where we can at least manage or de-escalate the situation," Manalo said, in an interview with Nikkei Asia. "Unfortunately, of course ... we have been victims of water cannoning, ramming, collision, side-swiping. We don't want to be in a situation where, one day, that will spiral into something else."
At a meeting last week between leaders of the 10-strong Association of Southeast Asian Nations and China, the bloc's largest trading partner, Philippine President Ferdinand Marcos Jr. raised maritime disputes as a risk to the region's economic prosperity, pressing the two sides to expedite negotiations on a code of conduct in the South China Sea that have been stalled for years.
Aside from the Philippines, ASEAN members Brunei, Indonesia, Malaysia and Vietnam have overlapping claims in the sea, a vital channel for shipping and commerce with large potential natural gas reserves.
"I'm not saying that we should speed them up at the expense of the substance, because our position still remains that we should have an effective and substantive code of conduct," Manalo said. "[But] we can't afford to wait another three or four years."
Incidents between China and the Philippines in contested waters have increased this year, with the Chinese coast guard using ramming and water cannons against Filipino vessels and injuring Filipino servicemen. In May, Marcos said the death of a Filipino national would be a red line, "very close to what we define as an act of war."
Manalo spoke with Nikkei Asia while in Bangkok to meet his Thai counterpart, Foreign Minister Maris Sangiampongsa, marking 75 years of bilateral relations. Both countries pursued their most urgent interests last week at the ASEAN leaders' annual summit.
The Philippines' claim to its exclusive economic zone, an area up to 200 nautical miles from its coast that it calls the West Philippine Sea, was upheld by a U.N. tribunal in 2016. Still, Chinese vessels have attempted to intimidate Filipino fishing boats and intercept supply missions to the BRP Sierra Madre, a rapidly deteriorating navy ship that the Philippines grounded on a reef in the 1990s to stake its claim.
The two countries reached a provisional understanding in July for Manila to supply Sierra Madre personnel with living necessities if it informs Beijing in advance, with on-site verification of the transferred goods.
The BRP Sierra Madre, a transport ship grounded in a disputed part of the South China Sea. Philippine military personnel live on the crumbling vessel as a way for Manila to stake its claim to the contested waters.   © Reuters
"So far, there hasn't been any incident in that area," Manalo said. "We have lived up to the terms, and we expect China to live up to the terms also."
If the peace holds, it may be followed by another meeting of the bilateral consultation mechanism on the South China Sea, which would be the third this year. Manalo said negotiations between Beijing and Manila on joint natural gas exploration in the South China Sea had not progressed beyond brief talks early in the year.
"There are really, fairly serious legal differences if we were to embark on joint development or joint exploration," Manalo said. Manila has imposed a moratorium on Philippine firms exploring for gas in its exclusive economic zone since 2014.
On the economic front, Manalo said Manila had resumed talks with the European Union this week on a broad-based trade agreement as part of its strategy to deepen ties beyond the region as China's economic growth slows. "While China is, of course, our number one trading partner, it's not as if our economy is completely reliant on China. Our approach is to see how we can diversify and increase partnerships," he said, mentioning the likes of Japan, Australia, the U.S., Canada and the EU.
"We're expanding our base of cooperation because we don't want to be reliant on any single market for our economic growth. And I think our growth figures show that," Manalo said.
China's economy grew 4.6% on an annualized basis last quarter, the lowest in more than a year, and is projected to expand by only 4.8% in 2024. The Philippines, meanwhile, is set to grow 6%.
Manalo also said the Philippines would take a more active role in resolving the nearly four-year civil conflict in Myanmar, as part of the troika of past, present and future ASEAN chairs. The Philippines will take over as chair in 2026 from Malaysia, which took over last week from Laos.
But Thailand, which has the longest border with Myanmar, has taken the lead in engaging the warring parties, sometimes outside of the ASEAN process. Thai Prime Minister Paetongtarn Shinawatra last week called for an informal ASEAN meeting, to be hosted by Bangkok in December, to discuss the bloc's ostracized member.
"We support Thailand's humanitarian assistance approach, but I think now, ASEAN is realizing that, of course, any solution must be Myanmar-led," Manalo said.
On Friday, in reference to the South China Sea tensions, Maris reaffirmed Thailand's support for "peaceful resolution through dialogue and diplomacy," adding that Thailand was ready to "work with all relevant parties to maintain peace and stability in the South China Sea and promote win-win cooperation in accordance with international law."</t>
  </si>
  <si>
    <t>https://asia.nikkei.com/politics/international-relations/asean-summit-opens-to-discuss-economic-ties-regional-security</t>
  </si>
  <si>
    <t>ASEAN summit opens to discuss economic ties, regional security</t>
  </si>
  <si>
    <t>VIENTIANE -- Leaders from the Association of Southeast Asian Nations (ASEAN) member countries kicked off a summit on Wednesday in the Laotian capital city of Vientiane, with the aim of enhancing the region's economic and security cooperation and reaching out to other dialogue partners in East Asia and Oceania.
Newly appointed leaders, Japan's Shigeru Ishiba and Thailand's Paetongtarn Shinawatra, will be among those joining the summit.
Apart from the discussion among ASEAN leaders on the region's economic cooperation to maintain growth, they were also expected to touch upon further steps toward bringing peace to Myanmar and how to apply the ASEAN Five-Point Consensus.
This calls for the immediate cessation of violence, the creation of constructive dialogue among all parties concerned, the sending of an ASEAN special envoy to facilitate peace talks, the provision of humanitarian aid and the sending of a special envoy to meet all parties concerned in Myanmar.
At the opening of the ASEAN summit, Laotian Prime Minister Sonexay Siphandone took note of several developments within ASEAN, including East Timor's pending full membership and the current geopolitical landscape undergoing "rapid and complex changes."
"In this context, ASEAN must remain resolute in taking ownership of efforts to strengthen cooperation, enabling it to effectively and promptly address these challenges while seizing opportunities as they arise," he said.
The summit will also touch on moving forward with discussions on a code of conduct for the South China Sea, which has been languishing for some two decades. China continues to provoke tensions with its neighbor, the Philippines, in its bid to aggressively assert its control over the entirety of the disputed waterway. However, the Philippines' Department of Foreign Affairs said ASEAN countries have a "thrust to conclude [code of conduct to mitigate the risk of conflicts against China] negotiations within three years."
Two new leaders in Asia, Japan's Shigeru Ishiba, right, and Thailand's Paetongtarn Shinawatra, will join the ASEAN summit meetings in Laos. (Source photos by Reuters and Uichiro Kasai) 
However, Julio Amador, CEO of Amador Research Services in the Philippines, believes this summit will likely put greater emphasis on economic issues and resiliency, citing the region's openness for foreign investments, especially from China, with key defense and security issues falling in line. In his view, discussions of serious matters such as Myanmar and the South China Sea tensions will be more visible next year. "Laos, I think, knows that it is not a strong country, knows that its agenda-setting powers are very limited, and doesn't really want to be caught between China and the rest of the ASEAN," he told Nikkei Asia.
"So this is where it tries to balance and avoid it as much as it can, and later try to pass it on to Malaysia next year," Amador added, referring to Laos handing over the ASEAN chairmanship to Malaysia in 2025.
That said, bloc also reached out to East Asian countries as ASEAN leaders were due to meet other dialogue partners, including Japan, South Korea, China, Australia, India, the U.S. and Canada.
"At the ASEAN-East Asia meeting (ASEAN plus Japan, China and South Korea), leaders were expected to touch upon some cooperation, ranging from the situation in the South China Sea and geopolitical conflict in the Middle East that also affected ASEAN and its dialogue partners," said Nikorndej Balankura, the spokesman of Thailand's Ministry of Foreign Affairs.
He added that Thailand also planned to have bilateral talks with some ASEAN nations, particularly member countries along the Mekong River in order to tighten their cooperation (specifically on the Mekong-Lancang Cooperation) to manage water resources along the waterway effectively and appropriately.
Climate change has worsened weather patterns in Southeast Asia this year with several monsoon storms hitting the region since late August, bringing in heavy rains that caused flash floods in Vietnam, Laos, Thailand and Myanmar.
In Thailand alone, the floods caused landslides that have killed 49 people so far and caused major rivers, particularly the Mekong, to break their banks and push flash floods higher into cities not only in Thailand but also in Laos and Myanmar. That has encouraged Thailand to revive Mekong-related cooperation to manage the rivers it shares to mitigate natural disasters.
U.S. Secretary of State Antony Blinken is expected to attend, while China will send Premier Li Qiang to the summit.</t>
  </si>
  <si>
    <t>https://asia.nikkei.com/spotlight/the-future-of-asia/the-future-of-asia-2024/mahathir-says-beijing-can-claim-south-china-sea-no-need-for-war</t>
  </si>
  <si>
    <t>Mahathir says Beijing 'can claim' South China Sea, no need for war</t>
  </si>
  <si>
    <t>TOKYO -- Malaysia's former Prime Minister Mahathir Mohamad on Friday downplayed China's claims to much of the South China Sea, arguing it is more important to avoid clashing with the country led by "ambitious" President Xi Jinping.
"You can claim" the South China Sea, he said in a fireside-style chat at the annual Future of Asia conference in Tokyo. "We don't have to go to war against you because of your claim."
He added, "We just want to live in peace among ourselves and with our trading partners."
Mahathir argued that as long as China's position does not cause physical harm or otherwise infringe on Malaysia's own claims, there is no issue. He said China has not inspected ships or banned sailing through the South China Sea. "We have oil production in the South China Sea. So far they haven't done anything," he added. "Maybe one day, they will realize that the claim means nothing."
Mahathir's position may undercut that of the Malaysian government, which rejects China's claims to almost all of the sea. But Mahathir stressed that China is the most important trade partner for most of the members of the Association of Southeast Asian Nations. Even though ASEAN states may disagree with China's position, they cannot confront the economic giant to their north.
Mahathir urged ASEAN to be pragmatic and to focus on its own economic development, instead of geostrategic issues. "China is a big market. We cannot lose that market," he said. "If we take sides, we are going to lose either the American market or the Chinese market."
The veteran statesman, who will turn 99 in July, acknowledged that China has become more assertive under President Xi, but he suggested that a future leader could change Beijing's tone.
"Xi Jinping seems to be more ambitious and more aggressive," Mahathir said, adding that "China has gone through many changes because of the changes in the leaders."
Eventually, when someone succeeds Xi, he said China will inevitably change again, although there is no telling "whether the change will be for the better or for the worse."
Mahathir, who twice served as prime minister of Malaysia -- between 1981 and 2003 and from 2018 to 2020 -- lost his parliamentary seat in general elections in November 2022, effectively ending his political career. But he remains an active and vocal figure.
On Friday he repeated his long-held position that ASEAN should stay neutral in the intensifying U.S.-China tensions, including on the issue of Taiwan. Beijing considers Taiwan a renegade province and says it is prepared to seize it with force if necessary. Mahathir, however, blamed Washington for stoking the friction.
"Unfortunately, America likes to see a confrontation between Taiwan and China. For us, there is no necessity," he argued. "They claim but they don't do anything."
On Thursday, China launched large-scale military drills encircling the island, and on Friday state media reported that Chinese forces conducted mock missile strikes.
Mahathir believes that the U.S. is provoking China by allowing senior officials to visit Taiwan, including former House Speaker Nancy Pelosi, whose visit in 2022 sparked a similar round of Chinese military exercises.
Diplomatic relations could become more complicated if Donald Trump is elected in the U.S. presidential election in November. For Mahathir, that is all the more reason ASEAN should avoid choosing sides.
"He is going to think about America first, to bring back a greater America," he said of Trump. "That's his business. It's his country. He can do it. But do not harm other people."</t>
  </si>
  <si>
    <t>https://www.scmp.com/news/china/diplomacy/article/3281736/li-qiang-tout-righteous-china-asean-forum-mutes-criticism-beijing-analysts</t>
  </si>
  <si>
    <t>Li Qiang to tout ‘righteous’ China as Asean forum mutes criticism of Beijing: analysts</t>
  </si>
  <si>
    <t>Regional leaders likely to ‘paper over’ South China Sea tensions as Chinese premier attends high-level gathering in Laos, experts say China will seek to present itself as “righteous” at a regional forum this week as Beijing tackles concerns raised by Southeast Asian countries following recent clashes in the disputed South China Sea, analysts have said.
Premier Li Qiang will attend a series of meetings hosted by Asean in the Laotian capital of Vientiane from Wednesday to Saturday, according to China’s foreign ministry.
Asked about Li’s attendance at this week’s East Asia Summit – one of the forums involving the Association of Southeast Asian Nations and the group’s dialogue partners – Mao Ning, a ministry spokeswoman, said the region had maintained a good momentum of development but faced “more unstable, uncertain and unpredictable factors”.
Asean leaders stand for a group photo during the plenary session of the 44th Asean Summit in Vientiane, Laos, on Wednesday. Photo: Reuters
Asean leaders stand for a group photo during the plenary session of the 44th Asean Summit in Vientiane, Laos, on Wednesday. Photo: Reuters
“Faced with the new situation, the countries and peoples in the region cherish the hard-won peace and stability even more, are more eager to achieve common development, and need to respond to challenges through unity and cooperation even more,” she said.
“China looks forward to working with Asean and other regional countries to build consensus, deepen mutual trust, strengthen cooperation, and inject new impetus into peace, stability, development and prosperity in the region and the world.”
Philippines and China trade blame over confrontation in South China Sea
China will work with the 10-member regional grouping to promote economic integration, boost cooperation in fields such as digital economy and artificial intelligence, and “maintain regional order”, Mao added.
While many Asean states view China as an economic powerhouse – with China being the bloc’s largest trading partner for more than a decade – tensions between Beijing and several countries have risen markedly over the South China Sea.
China claims nearly the entire waterway, including areas also claimed by the Philippines, Brunei, Malaysia and Vietnam.
Manila has clashed with Beijing multiple times in the past year, primarily over China’s reported use of force against Philippine vessels.
In the latest of stand-offs, just this week, a Chinese vessels reportedly fired water cannons at two Philippine fisheries vessels in the waters off Scarborough Shoal – one of the biggest flashpoints in the South China Sea.
Beijing claimed that it took “control measures” against the vessels, which it said had “invaded the waters” near the disputed reef.
In a separate incident earlier this month, Philippine authorities said Chinese missile boats “intimidated” its vessels and directed lasers at its aircraft.
Vietnam recently said that Chinese law enforcers had beaten fishermen and taken equipment away from a boat near the Paracel Islands.
China’s foreign ministry told Reuters that the Vietnamese crews had been illegally fishing in Chinese waters and the measures the authorities had taken were “professional and restrained, and no injuries were found”.
Carl Thayer, professor emeritus of politics at the University of New South Wales in Australia, said the Philippines and Vietnam were likely to air their concerns with Li.
“But these interventions won’t move the needle much with respect to Asean’s declaratory policy,” he said.
Thayer said Laos – which holds the rotating chair of Asean this year – would play a “low-key reactive rather than proactive role”, and in upholding the bloc’s norm of consensus, criticisms of China would likely be muted.
South Korea, Philippines share ‘common understanding’ on South China Sea
He expected the final statement issued by the chair would use Asean’s boilerplate formulation – that concerns were raised over actions that have raised tensions and undermined stability in the region while calling for restraint.
China will emphasise that “recent tensions are the result of interference by a country outside the region and warn Southeast Asia states not to be taken in”, Thayer said.
Li will “stress that China promotes peace in the South China Sea”, and that it was in Asean’s interest to work with China to complete the third reading of the long-delayed code of conduct for the waterway, he said.
“Despite rising tensions in the South China Sea caused by China’s stepped up aggressiveness, Asean leaders will paper over their differences by putting a gloss on the summit’s outcomes.”
John Bradford, executive director of the Yokosuka Council on Asia-Pacific Studies, based in Japan, said China’s “aggression” in the South China Sea was a “common concern” of Asean states but most would prefer to focus on areas of mutual benefit such as trade and investment.
Philippine and Vietnamese officials will raise their territorial disputes but do not expect that Beijing will be receptive to their concerns, he said.
“I would not expect a significant change in the Chinese approach,” Bradford added. “They will continue to portray themselves as righteous in the South China Sea and assert that their actions are defensive while trying to steer the bulk of the conversation to more pleasant areas of diplomacy.”
Zha Daojiong, a professor at Peking University’s School of International Studies, said China and Asean economies face similar challenges in the today’s world, including dealing with volatilities in the global supply chain.
To that end, he suggested that the Asean summit was a venue for leaders to work on trade, investment and maintaining stability, adding that “factors of economic geography are more impactful than maritime security issues”.
While the South China Sea dispute is an “outstanding issue” – primarily for the Philippines – Zha said that negotiations for the code of conduct were still under way. Officials had previously agreed to conclude talks by 2026.
“In other words, the situation is under management,” Zha said.</t>
  </si>
  <si>
    <t>https://www.scmp.com/week-asia/politics/article/3283916/can-malaysia-unite-asean-south-china-sea-and-myanmar-conflicts</t>
  </si>
  <si>
    <t>Can Malaysia unite Asean on South China Sea and Myanmar conflicts?</t>
  </si>
  <si>
    <t>As Asean chair, Malaysia and its prime minister face the daunting challenge of bridging deep divides over critical regional issues As Malaysia prepares to assume the Asean chair next year, the nation will face two pressing issues: the South China Sea dispute and the ongoing conflict in Myanmar. Both challenges will require a delicate balance, and expectations are high for Prime Minister Anwar Ibrahim to guide the bloc towards unity.
At the Association of Southeast Asian Nations summit in Vientiane on October 9, Anwar spoke about how vital dialogue and cooperation was to shield the region from external interference.
“As global tensions continue to rise and polarisation appears to prevail over integration, cracks and divisions within Asean run the risk of being exploited to the detriment of its centrality and cohesiveness,” he warned.
Analysts believe Malaysia is well-positioned to restore Asean’s centrist orientation. The country has experience mediating regional conflicts and has taken leadership roles in significant global forums such as the Non-Aligned Movement and the Organisation of Islamic Cooperation.
“Malaysia has the advantage of having a more balanced approach and ties with both sides,” said Collins Chong Yew Keat, a foreign affairs analyst at the University of Malaya, referring to the intricate dynamics of maintaining good relations with China and the West.
Malaysia’s Prime Minister Anwar Ibrahim speaks during the closing ceremony of the Asean summits in Laos earlier this month. Photo: AFP
Malaysia’s Prime Minister Anwar Ibrahim speaks during the closing ceremony of the Asean summits in Laos earlier this month. Photo: AFP
For years, Asean has struggled to reach consensus on the South China Sea. China’s influence is seen to weigh heavily on member states such as Cambodia and Laos, which have received investments worth billions of US dollars from the superpower to help develop their infrastructure and economies.
Beijing claims nearly the entire South China Sea – a crucial waterway for US$3 trillion in annual global trade that is thought to be rich in oil, gas and fisheries. These claims overlap with the territorial rights of Asean members Brunei, Malaysia, the Philippines and Vietnam, as well as Taiwan.
In Malaysia, concerns about China’s growing influence have intensified following Anwar’s overtures for increased economic cooperation and the country’s inclusion on Thursday as a partner in the China-led Brics grouping.
“He [Anwar] has created a perception that Malaysia is now taking a side in the US-China rivalry,” said Tunku Mohar Tunku Mokhtar, a geopolitical analyst at the International Islamic University of Malaysia.
Despite these tensions, Anwar has consistently downplayed fears surrounding China, referring to the nation as a “true friend” and asserting that its regional dominance should not incite panic – even as his administration remains committed to attracting US and Western investments amid ongoing trade and technology battles with China.
The Malaysian leader has actively courted Chinese investments, having made two official visits to China last year and hosting Chinese Premier Li Qiang in June to commemorate 50 years of diplomatic relations.
Chinese and Philippine vessels clash nearr Second Thomas Shoal in the South China Sea on June 17. Photo: AFP
Chinese and Philippine vessels clash nearr Second Thomas Shoal in the South China Sea on June 17. Photo: AFP
During Li’s visit, the two nations agreed to initiate bilateral talks on the South China Sea – an agreement that had been stalled on the Malaysian side for years.
While Anwar advocates for dialogue, he also cautions against involving external parties in the maritime dispute, particularly in light of recent clashes between China and the Philippines. After a series of confrontations between the two nation’s coastguards, the Philippines has conducted joint patrols in the South China Sea with the United States, Japan and Australia.
Rather than a pivot towards China, analysts contend that Malaysia is maintaining a policy of diplomatic pragmatism, cultivating friendly relations with all parties while pursuing its national interests.
“The description that Anwar is shifting to China is too simplistic and narrow,” said Abdul Rahman Yaacob, a research fellow with the Lowy Institute’s Southeast Asia programme.
“Former prime minister Najib Razak had close relations with China and even acquired Chinese warships. Malaysia’s bilateral talks with China should not be seen in isolation. Even the Philippines has engaged China on the South China Sea issue through bilateral meetings.”
Despite perceptions of its tilt towards China, Malaysia has maintained that it will not cede its sovereign rights over territorial waters in the South China Sea.
Deputy Foreign Minister Mohamad Alamin reiterated in parliament on Wednesday that Malaysia would “continue to assert its firm stance on the South China Sea issue” while seeking constructive solutions as Asean chair.
Asean Secretary General Kao Kim Hourn announced at the summit in Laos that a code of conduct between the bloc and China regarding the South China Sea is expected to be finalised next year. However, achieving consensus will be a significant challenge for Malaysia.
As chair, Malaysia will have the authority to set the agenda and convene stakeholder meetings, but ultimately, the individual members must decide their positions.
“Any progress on the South China Sea will require buy-in from all Asean members and China, which will be difficult given the long-standing distrust surrounding the issue,” warned Angeline Tan, an analyst with the Institute of Strategic and International Studies Malaysia.
On the other hand, peace in Myanmar may prove a more attainable objective for Malaysia during its Asean chairmanship, particularly as the junta faces increasing losses against rebel forces.
“Malaysia’s best bet is to set the framework for Asean to engage the Myanmar junta meaningfully so that a peaceful transfer of power can take place in Myanmar,” Lowy Institute’s Abdul Rahman said.
As Malaysia steps into the role, the eyes of the region – and the world – will be watching closely, hopeful that it can steer Asean through these turbulent waters towards a more unified future.</t>
  </si>
  <si>
    <t>https://www.scmp.com/week-asia/politics/article/3287581/southeast-asia-acknowledges-chinas-influence-south-china-sea-tensions-sow-distrust-study</t>
  </si>
  <si>
    <t>Southeast Asia acknowledges China’s influence, but South China Sea tensions sow distrust – study</t>
  </si>
  <si>
    <t>Southeast Asian elites prefer an Asean-led regional order, despite acknowledging China’s growing influence, but the bloc faces its own challenges An overwhelming majority of Southeast Asian elites prefer the Asean bloc to lead the region, especially as issues such as China’s assertive actions in South China Sea tensions strain relations with Beijing, according to a new study.
The findings come from the study, “Elite Perceptions of a China-Led Regional Order in Southeast Asia” by National University of Singapore political science professors Selina Ho and Terence Lee. The study surveyed nearly 600 politicians, business leaders, diplomats, bureaucrats, and experts from Indonesia, Malaysia, the Philippines, Singapore, Thailand, and Vietnam as “they are directly responsible for formulating their countries’ foreign policy.”
Respondents said that the Association of Southeast Asian Nations (Asean) was the most influential entity in the region, followed by China and then the United States, indicating that Chinese influence is “substantial, even if it is not pre-eminent at present” amid apparent efforts by Beijing to sway the hierarchical order of Southeast Asia.
Although China has repeatedly reassured its neighbours that it does not seek to dominate the region, its rhetoric and behaviour reflect two intrinsic motivations, “to blunt US influence and ensure that the region aligns with its core interests, and to establish a regional identity that is distinct from the West’s,” the study notes.
“If China cannot convince its closest neighbours that it is fit to lead the region, it will face an even greater challenge in garnering support to lead globally,” Ho and Lee added.
An overwhelming 80 per cent of respondents said they identified the most with Asean, with China following distantly at 10 per cent, and the US at 5 per cent.
Yet 70 per cent also believed their countries’ policymakers were close to China, except the Philippines, where more than half said their policymakers were not.
Culturally, nearly two-thirds said their country was closer to China than the United States, which the authors said was “not surprising” given the region’s ethnic Chinese population and cultural ties to China.
Chinese Defense Minister Dong Jun, sixth from right, addresses the Asean-China Defence Ministers’ informal Meeting in Vientiane, Laos on November 20. Photo: AP
Chinese Defense Minister Dong Jun, sixth from right, addresses the Asean-China Defence Ministers’ informal Meeting in Vientiane, Laos on November 20. Photo: AP
Most Southeast Asian elites said that liberal democratic values such as human rights, freedom of expression, and democracy were more relevant to their country’s governance than China’s political values such as hierarchy and centralised authority, with fewer than 10 per cent saying that Beijing’s political values were relevant.
Ho told This Week in Asia that the survey’s findings showcased these countries’ aspirations for an Asean-led regional order.
“They do not concede to the idea of a China-led order … so even though Southeast Asian countries enjoy strong economic ties with China, the elites surveyed prefer diversity and have sought to engage multiple parties – they prefer that no one single country dominates,” Ho said.
According to the study, Southeast Asian countries welcome all major powers to the region, as they view their presence as critical to “providing a counterweight to Chinese dominance”.
Observers said this reflected the region’s “pragmatic attitude” toward strengthening economic ties with China, but they warned that this may lead to an acceptance of China’s values.
Hanh Nguyen, a research fellow at the Yokosuka Council on Asia-Pacific Studies and a doctoral researcher at the Australian National University, said poorly managed ties “might lead to a slippery slope where Southeast Asian states might one day find themselves implicitly accepting China’s norms.”
Geopolitical analyst Matteo Piasentini said that China remains an important economic partner for the region and there was “general awareness of the risks of excessive entanglement with China, given the power asymmetry between these states and Beijing.”
“Once again, the risk is a de facto loss of independence – something these states deeply value,” Piasentini told This Week in Asia.
Piasentini added that although China does not explicitly state its intention to lead the region, it is perceived as creating a “sphere of influence” that countries are expected to accept along with its benefits.
“Maintaining economic ties with China while forging other partnerships, particularly in security, acts as a form of insurance against these risks,” he said.
Chester Cabalza, president of the Manila-based think tank International Development and Security Cooperation, highlighted increased trade efforts through Beijing’s Belt Road Initiative and “continuously luring” Asean countries to groups such as Brics to “sharpen [China’s] economic stencil in the region.”
Cabalza added that although Beijing has deployed “divisive and polarising” tactics in the region, “China’s successful economic integration [is slowly changing] Asean’s attitude in favour of them.”
He also noted that China’s dissuasive politics and “unappealing, conservative socialist norms” may conflict with rules-based, democratic values of major elites in the region’s major countries.
However, “Beijing will continue to reach for its dream … and achieve the pinnacle of strategic acceptance by slowly altering the pecking order of their power competition with the US in Asean,” he added
Observers agreed that China’s “lack of restraint” in handling South China Sea disputes has also sowed distrust among Southeast Asian countries, with Ho calling tensions the “bugbear” in Southeast Asia-China relations.
Nguyen said that defiance towards Beijing will depend on each country’s strength, its ties with China, and the influence of external powers.
The South China Sea remains a “red line” for the region, Piasentini said, adding that “friendly relationships with neighbours and the assertion of sovereignty are both state interests, but I argue that the latter always takes precedence.”
History, money and military: why the South China Sea is so important to Beijing
However, observers agreed that the region faces its own challenges in achieving Asean centrality, due to differing perspectives among the 10 countries on issues like maritime disputes and the Myanmar situation.
“Asean history is replete with differences – both bilateral and multilateral,” Ho told This Week in Asia.
Nguyen said that a pro-Asean view was not surprising given the region’s “unprecedented era of uncertainty and both China and the US are showing that they are not that reliable as great powers.”
“However, Asean’s performance in reality leaves much to be desired, and this is something Asean members need to work on,” she said.
Piasentini added that Southeast Asian states prioritise independence, shaped by their colonial histories, and are reluctant to have “another foreign power dictating their destiny.”
Yet issues such as the lack of consensus and coordination regarding a code of conduct (COC) with China in the South China Sea remain barriers to achieving this centrality, he said.
“These negotiations have been stalled for over 20 years, and despite officials’ annual declarations, a COC will never be adopted unanimously if it requires giving up sovereign maritime rights for Southeast Asian littoral states. This represents a significant failure for an organisation whose ‘centrality’ mainly rests on prestige,” he said.
However, Asean countries have managed to keep the organisation intact, despite their differences and achieved peace, stability, and economic growth, Ho argued.
“I am confident that Asean states can navigate these challenges and continue to play a central role in the region,” she said.
Meanwhile, Cabalza said that hedging and de-risking would help Asean countries prevail in the evolving power rivalry between China and the US, when Trump is sworn in next year.
He said: “Major middle powers of Asean will converge together to mitigate the power rivalry and elevate their own version of Asean centrality.”</t>
  </si>
  <si>
    <t>https://www.scmp.com/news/china/diplomacy/article/3257985/south-china-sea-beijing-hanoi-try-navigate-differences-territorial-disputes-ripple</t>
  </si>
  <si>
    <t>South China Sea: Beijing, Hanoi try to navigate differences as territorial disputes ripple</t>
  </si>
  <si>
    <t>Top diplomats reaffirm commitment to 20-year-old conduct agreement, promise strengthened trade ties
China’s Wang Yi says both sides should be ‘wary of creating camp confrontations in the region’ China and Vietnam were treading lightly on maritime issues during Vietnamese Foreign Minister Bui Thanh Son’s latest visit to Beijing, with the two sides reaffirming their commitment to a 20-year-old conduct agreement and promising to bolster trade ties.
The talks between Son and Chinese Foreign Minister Wang Yi came amid elevated tensions in the South China Sea, including the revival of the two countries’ territorial dispute in the Gulf of Tonkin and between Chinese and Philippine vessels in the region. It also came after the sudden departure of Vietnam’s president, Vo Van Thuong.
At the meeting on Thursday, Wang reiterated that China considers Vietnam a priority diplomatic partner and wants to work with Vietnam to “jointly promote the solid development of the China-Vietnam community with a shared future”.
China and Vietnam should “properly manage differences, accelerate maritime cooperation and consultation on the South China Sea Code of Conduct, and resolve conflicts and differences through win-win cooperation”, Wang said, according to a statement from his ministry.
Vietnamese Foreign Minister Bui Thanh Son speaks during a meeting at the US State Department on March 25 in Washington. Photo: AP
Vietnamese Foreign Minister Bui Thanh Son speaks during a meeting at the US State Department on March 25 in Washington. Photo: AP
The code of conduct will be based on the Declaration on the Conduct of Parties in the East Sea/South China Sea, which was signed between China and regional states at a 2002 Asean summit in Cambodia. The terms included commitments on encouraged and restrained behaviours in the waters.
In a veiled shot at the United States, Wang also stressed that the neighbouring states should be “wary of creating camp confrontations in the region” and “cobbling together various ‘small circles’ to undermine regional peace and stability”.
The Vietnamese Communist Party’s mouthpiece, Nhan Dan, similarly reported that the two sides “underlined the importance of seriously implementing the agreements and common perceptions reached between the two parties and countries’ leaders on properly controlling and settling differences”.
There was no mention of the recent stand-off between coastguard vessels from China and the Philippines near Second Thomas Shoal, but the report said China and Vietnam did agree to join Asean countries in “promoting negotiations and soon finalising a substantive, efficient and effective code of conduct in the waters” in accordance with relevant laws.
Wang also pledged to strengthen “high-level strategic communication”, and continue expanding cooperation in economic and trade investment, the digital economy, green development, new energy, and production of key minerals.
Chinese floating barrier blocks entrance to Philippine ships at South China Sea flashpoint
Also on Thursday, it was announced that the chairman of Vietnam’s National Assembly, Vuong Dinh Hue, will lead a delegation to China for an official visit from April 7-12.
Wang and Son , at the 15th meeting of the Steering Committee for Bilateral Cooperation, which was created when the two countries established their “comprehensive strategic cooperative partnership”.
Thursday’s meeting followed a by Son, which was seen as an effort to assure world leaders that the sudden resignation of Vo, the Vietnamese president, would not be destabilising. Son said Hanoi “wishes [to] and can have good relations with all major powers, thanks to Vietnam’s ‘bamboo diplomacy’”.
Vietnamese Communist Party diplomatic chief Le Hoai Trung also last week, meeting Wang and other Chinese officials. The talks were focused on economic cooperation and the friendship shared between the two countries’ ruling communist parties, during which Wang pledged to “intensify high-level exchanges”.
Hanoi has been juggling its relationships with “brother” Beijing and former foe Washington, guided by its strategic “Four Noes” policy: no partaking in military alliances, no siding with one country against another, no foreign military bases in Vietnamese territory, and no use of force in international relations.
Both Chinese President Xi Jinping and US President Joe Biden were guests in Hanoi last year. During his stopover, Xi offered a total of 37 bilateral deals involving railways and telecommunications, while the US upgraded its ties with Vietnam to a comprehensive strategic partnership.</t>
  </si>
  <si>
    <t>https://thediplomat.com/2024/01/asean-foreign-ministers-speak-out-about-south-china-sea-tensions/</t>
  </si>
  <si>
    <t>ASEAN Foreign Ministers Speak Out About South China Sea Tensions</t>
  </si>
  <si>
    <t>Foreign ministers of the Association of Southeast Asian Nations (ASEAN) have belatedly registered their concern over the ongoing tensions in the South China Sea, at the tail end of a year that has seen numerous confrontations between Chinese and Philippine vessels.
In a statement issued on Saturday, the second to last day of 2023, the bloc’s top diplomats said that the growing friction could threaten regional peace, urging the rival claimants to engage in peaceful dialogue.
“We closely follow with concern the recent developments in the South China Sea that may undermine peace, security, and stability in the region,” the statement read. “We reaffirm our unity and solidarity and our shared commitment to maintaining and further strengthening stability in our maritime sphere to bring about overall peace, security, stability, and prosperity in our region.”
2023 was a year of growing confrontation in the contested and economically vital waterway, as China took steps to assert its expansive “nine-dash line,” which lays claim to nearly the entire South China Sea and overlaps with those of five ASEAN member states: Vietnam, Malaysia, the Philippines, Brunei, and Indonesia.
The most pugnacious Chinese actions took place in waters claimed by the Philippines, particularly around Second Thomas Shoal, a submerged feature that the Philippines occupies in the Spratly Islands. Since early last year, China has taken increasingly aggressive steps to prevent Philippine forces from resupplying the small detachment of troops stationed aboard the BRP Sierra Madre, a rusting warship that was purposefully grounded on the shoal in 1999. Chinese vessels have collided with Philippine supply boats and coast guard ships and deployed high-pressured water cannons and even a military-grade laser to stymie the resupply missions.
The confrontations at sea have brought Philippines-China relations to their worst point since the administration of President Benigno Aquino III, with the two nations trading recriminations and accusations of responsibility during the closing weeks of 2023. Last month, Chinese Foreign Minister Wang Yi warned that bilateral relations were “at a crossroads.”
In their statement, the first standalone statement that ASEAN has issued on the South China Sea, the bloc’s foreign ministers also reaffirmed the need to “exercise self-restraint in the conduct of activities that would complicate or escalate disputes.” They also “reiterate[d] the importance of peaceful dialogue that contributes constructively to the promotion of regional stability and cooperation in the maritime domain.”
Throughout the recent tensions, many observers have questioned why ASEAN has failed to speak out about the Chinese action. The obvious answer is that the bloc has been hamstrung by its policy of consensus decision-making, given that not all of its member states have a direct stake in the disputes, and that some have close relations with China and are reluctant to speak out against its actions.
As such, it is unsurprising that the belated statement does not advance beyond the lowest-common-denominator statements that have been issued during ASEAN’s regular summits and foreign minister conclaves, in which China is not mentioned as the primary antagonist.
That said, the statement is not without its significance.
As Evan Laksmana of the International Institute for Strategic Studies wrote on the social media platform X (formerly Twitter), there are few steps that ASEAN could take that would get China to cease its belligerent actions in contested waters. Seen in this light, the issuing of a standalone statement was “a good first step” in building solidarity and keeping the fragile notion of “ASEAN unity” intact, after years in which it has been undermined by intra-bloc divisions over the South China Sea.
Laksmana argued that it should be the first step toward more effectively institutionalizing regional maritime security cooperation. While ASEAN’s skeptics will continue to have ample grounds to suspect the bloc’s ability to handle the challenge posed by China’s coast guard, he concluded that the foreign ministers’ statement was “a necessary but far from sufficient step on behalf of the group in response to recurring maritime incidents.”
If turbulent 2023 was any indication, ASEAN will be tested by further incidents in the year to come.</t>
  </si>
  <si>
    <t>https://www.straitstimes.com/asia/se-asia/south-china-sea-claimants-should-settle-dispute-peacefully-vivian</t>
  </si>
  <si>
    <t>Asean states may differ in approach to South China Sea spat, but all are seeking peace: Vivian</t>
  </si>
  <si>
    <t>MANILA - Foreign Minister Vivian Balakrishnan said Singapore hopes to see claimants in the South China Sea settle the dispute peacefully, adding that Asean nations may differ in their approach to the issue but remain united in seeking peace in the region.
He was speaking at a joint press briefing with his Filipino counterpart Enrique Manalo during a four-day visit to the Philippines that started on April 15, kicking off the commemoration of 55 years of diplomatic ties in 2024. Singapore and the Philippines are founding members of Asean.
Asked by a reporter about the need for a united Asean voice on the South China Sea issue, Dr Balakrishnan said member states seek peace and stability in one of the world’s busiest waterways.
While not all Asean countries are claimants in the South China Sea, it does not mean Asean as a whole does not have a stake in what happens in the dispute, he said.
“Asean is united in the sense that no single Asean country wants to become a proxy, or a vassal state of any power. So, you need to be able to deal with this variety, internally, as well as the diversity of our approaches externally, but still recognise that we want to maintain unity, cohesion and centrality of Asean,” he said.
While Singapore has no claims in the disputed waterway, any escalation of tensions could impede trade, increase insurance premiums and have an inflationary impact on economies in the region, he added.
Dr Balakrishnan said concerned parties should resolve the dispute peacefully, adding that the UN Convention on the Law of the Sea already sets a comprehensive international legal framework to settle issues over the disputed waterway.
“Singapore has to believe in the importance of the international rule of law. If it is just the law of the jungle, where the powerful do what they will and the weak must suffer what they must, then the future will be bleak for Singapore and the Philippines,” he said.
The key concern over the South China Sea comes after Beijing’s numerous clashes since 2023 with the Philippines near the Second Thomas Shoal, which is claimed by both countries. These include a clash on March 23, in which China’s coast guard allegedly fired water cannon at one of Manila’s supply boats.
Beijing has claimed almost the entire South China Sea, but the nine-dash line accompanying its claim and its land reclamation activities in the contested waters were regarded as unlawful by an international court in 2016 in a case filed by the Philippines.
Four Asean nations – the Philippines, Brunei, Malaysia and Vietnam – along with Taiwan have rival claims to parts of the South China Sea.
Dr Balakrishnan met Philippine President Ferdinand Marcos Jr on April 15 before meeting Vice-President Sara Duterte the next day. He also met Mr Manalo on April 16 to discuss issues of mutual concern, including the South China Sea and the establishment of a carbon credit market between the two countries.
At the press briefing, Dr Balakrishnan said a carbon credit market would open up new growth areas and opportunities for the Philippine economy while expanding Singapore businesses’ access to the available carbon credits that would be generated.
The two foreign ministers also discussed energy collaboration.
Referring to Laos by its official name, Dr Balakrishnan said the Lao PDR-Thailand-Malaysia-Singapore Power Integration Project shows that it is possible to have cross-border energy trade cooperation among Asean countries.
“In this part of the world, the connection between the Philippines, Indonesia, Malaysia and Brunei is another critical pillar. And if you put these two networks together, you, in fact, get the beginning of a very significant Asean power grid,” he said.
He noted that the Philippines is chair of the Asean Power Grid Consultative Committee, adding that “we look forward to working closely with the Philippines to make the Asean power grid a reality”.
The two foreign ministers also discussed security concerns in the Middle East, with both calling for the de-escalation of tensions in the Gaza Strip. They talked about Iran’s recent missile attack on Israel and its possible implications on South-east Asia.
“These escalations pose significant danger to a regional conflagration, which ultimately will also impact all of us here in South-east Asia. So we hope for the best,” Dr Balakrishnan said.
Asked by a reporter about the upcoming leadership change in Singapore, he said: “I do not expect any change in foreign policy and in our contributions to Asean.”
Deputy Prime Minister Lawrence Wong is set to take over from Prime Minister Lee Hsien Loong on May 15.
Dr Balakrishnan added that he believes Singapore’s ongoing projects and investments in the Philippines will continue.
Mr Manalo said Singapore and the Philippines have a “strong, robust and dynamic relationship”, highlighting that the Republic was Manila’s eighth-largest trading partner in 2023. Singapore is also the Philippines’ sixth-largest export market and seventh-largest import source.
Key Singapore investments in the Philippines include SIA Engineering’s maintenance, repair and overhaul facility at a free port zone in Clark, Pampanga, a province 95km north of Manila, and Changi Airports International’s stake in the consortium handling the 25-year concession to operate Clark International Airport.
In a statement on April 16, Singapore’s Ministry of Foreign Affairs said that Dr Balakrishnan and Mr Manalo “had a fruitful discussion on ways for both countries to further expand bilateral cooperation, especially in the areas of people-to-people ties, carbon credits, renewable energy and the Asean Power Grid”.
“They also engaged in a wide-ranging and candid discussion on regional and international developments. They emphasised the importance of strengthening Asean Centrality and unity, and upholding a rules-based international order to promote peace and stability in the region,” the MFA added.</t>
  </si>
  <si>
    <t>Asean and China close to upgrading free trade agreement, covering digital, green economies</t>
  </si>
  <si>
    <t>https://www.straitstimes.com/asia/se-asia/asean-and-china-take-steps-to-upgrade-free-trade-agreement-covering-digital-and-green-economies</t>
  </si>
  <si>
    <t>VIENTIANE, Laos – Negotiations to upgrade the free trade agreement (FTA) between Asean and China have almost concluded after nearly two years, with business-friendly initiatives for firms operating across these markets, leaders of both sides said on Oct 10 during a summit.
The announcement was made at a meeting of Asean and China leaders during the ongoing 44th and 45th Asean Summits and related meetings in Vientiane, Laos.
“This upgrade to the FTA is an important move, especially in this time of growing protectionism in the world. It will send a very clear and important message to every­one on the importance of free trade and win-win market cooperation,” said Singapore Prime Minister Lawrence Wong, addressing his regional counterparts during the 27th Asean-China Summit.
A full conclusion of the negotiations, which include upgrades in the digital and green economies, is targeted for 2025.
Once implemented, the upgraded agreement will, among other things, introduce new and enhanced rules covering Customs procedures, supply chain connectivity, competition and consumer protection, as well as economic and technical cooperation.
This is the second time the trade agreement is to be refreshed since its inception in 2010, with the current round of negotiations starting in 2022, according to Singapore’s Ministry of Trade and Industry, which has been involved in the Asean-China Free Trade Area (ACFTA) discussions.
The ACFTA covers a free trade area of more than two billion people with a combined GDP exceeding US$20 trillion (S$26 trillion). Under the existing agreement signed in 2010, Asean’s trade in goods with China has nearly tripled, from US$235.5 billion in 2010 to US$696.7 billion in 2023.
In 2023, foreign direct investment (FDI) from China to the 10-member grouping amounted to US$17.3 billion, making China Asean’s largest trading partner and third-largest source of FDI.
Describing the Asean-China relationship as one of the grouping’s most substantive and dynamic ones, PM Wong said that establishing a comprehensive strategic partnership with China in 2021 has deepened this relationship further.
He urged closer cooperation between Asean and China in areas that include air transport and climate change as well as the transition to clean energy, noting that China’s expertise can help to advance the region’s plans for the Asean Power Grid.
Asean and China share close bonds that go back centuries, said PM Wong, adding that closer cooperation between the two sides will also build up trust and confidence, and help manage issues that inevitably arise from time to time.
“It is a relationship where countries big or small are treated as equals, and work together on the basis of mutual trust, mutual respect and mutual benefit,” he said.
The annual regional gathering is being held against the backdrop of increasing geopolitical tensions, as well as concerns over rising military conflict in the Middle East, maritime disputes in the South China Sea, the broader US-China rivalry and the continued civil unrest in Myanmar since the 2021 military coup.
PM Wong brought up the example of disputed waters in the South China Sea, which is at the fore of overlapping territorial claims by China, Taiwan and the four Asean member states of Brunei, Malaysia, the Philippines and Vietnam.
He said that Singapore’s consistent position is that all parties should ensure freedom of navigation and overflight, and adhere to international law, including the 1982 United Nations Convention on the Law of the Sea (Unclos). The Unclos sets a comprehensive international legal framework to settle issues over the disputed waterway.
“We look forward to the expeditious conclusion of a Code of Conduct that accords with international law, including Unclos,” said PM Wong, referring to the code that Asean is currently negotiating. The grouping aims to finish talks on the code by 2026.</t>
  </si>
  <si>
    <t>Documents</t>
  </si>
  <si>
    <t>News</t>
  </si>
  <si>
    <t>Scholarly Articles</t>
  </si>
  <si>
    <t>text</t>
  </si>
  <si>
    <t>Chairman’s Statement of the 16th ASEAN-China Summit</t>
  </si>
  <si>
    <t>CHAIRMAN'S STATEMENT OF THE 17 ~ ASEAN-CHINA SUMMIT 1 3 November 20 14 Nay Pyi Taw, ...</t>
  </si>
  <si>
    <t>ASEAN FOREIGN MINISTERS’ STATEMENT ON THE CURRENT DEVELOPMENTS IN THE SOUTH CHINA SEA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</si>
</sst>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dd/mm/yy"/>
  </numFmts>
  <fonts count="23">
    <font>
      <sz val="10"/>
      <color rgb="FF000000"/>
      <name val="Arial"/>
      <scheme val="minor"/>
    </font>
    <font>
      <sz val="11"/>
      <color theme="1"/>
      <name val="Arial"/>
      <family val="2"/>
      <scheme val="minor"/>
    </font>
    <font>
      <sz val="11"/>
      <color theme="1"/>
      <name val="Arial"/>
      <family val="2"/>
      <scheme val="minor"/>
    </font>
    <font>
      <u/>
      <sz val="10"/>
      <color rgb="FF0000FF"/>
      <name val="Arial"/>
      <family val="2"/>
    </font>
    <font>
      <sz val="10"/>
      <color rgb="FF000000"/>
      <name val="Arial"/>
      <family val="2"/>
    </font>
    <font>
      <sz val="10"/>
      <color theme="1"/>
      <name val="Arial"/>
      <family val="2"/>
    </font>
    <font>
      <sz val="10"/>
      <color theme="1"/>
      <name val="Arial"/>
      <family val="2"/>
      <scheme val="minor"/>
    </font>
    <font>
      <u/>
      <sz val="10"/>
      <color rgb="FF0000FF"/>
      <name val="Arial"/>
      <family val="2"/>
    </font>
    <font>
      <u/>
      <sz val="10"/>
      <color theme="1"/>
      <name val="Arial"/>
      <family val="2"/>
    </font>
    <font>
      <u/>
      <sz val="10"/>
      <color rgb="FF1155CC"/>
      <name val="Arial"/>
      <family val="2"/>
    </font>
    <font>
      <u/>
      <sz val="10"/>
      <color rgb="FF0000FF"/>
      <name val="Arial"/>
      <family val="2"/>
    </font>
    <font>
      <sz val="11"/>
      <color rgb="FF000000"/>
      <name val="&quot;Aptos Narrow&quot;"/>
    </font>
    <font>
      <u/>
      <sz val="11"/>
      <color rgb="FF000000"/>
      <name val="&quot;Aptos Narrow&quot;"/>
    </font>
    <font>
      <u/>
      <sz val="10"/>
      <color theme="10"/>
      <name val="Arial"/>
      <family val="2"/>
      <scheme val="minor"/>
    </font>
    <font>
      <sz val="10"/>
      <color rgb="FF000000"/>
      <name val="Arial"/>
      <family val="2"/>
      <scheme val="minor"/>
    </font>
    <font>
      <sz val="10"/>
      <name val="Arial"/>
      <family val="2"/>
      <scheme val="minor"/>
    </font>
    <font>
      <sz val="11"/>
      <name val="Arial"/>
      <family val="2"/>
      <scheme val="minor"/>
    </font>
    <font>
      <sz val="10"/>
      <name val="Roboto"/>
    </font>
    <font>
      <sz val="10"/>
      <name val="Arial"/>
      <family val="2"/>
    </font>
    <font>
      <b/>
      <sz val="10"/>
      <color rgb="FF000000"/>
      <name val="Arial"/>
      <family val="2"/>
      <scheme val="minor"/>
    </font>
    <font>
      <sz val="8"/>
      <name val="Arial"/>
      <family val="2"/>
      <scheme val="minor"/>
    </font>
    <font>
      <sz val="8"/>
      <name val="Arial"/>
      <family val="2"/>
    </font>
    <font>
      <sz val="8"/>
      <color rgb="FF000000"/>
      <name val="Arial"/>
      <family val="2"/>
      <scheme val="minor"/>
    </font>
  </fonts>
  <fills count="10">
    <fill>
      <patternFill patternType="none"/>
    </fill>
    <fill>
      <patternFill patternType="gray125"/>
    </fill>
    <fill>
      <patternFill patternType="solid">
        <fgColor rgb="FFD9E6FC"/>
        <bgColor rgb="FFD9E6FC"/>
      </patternFill>
    </fill>
    <fill>
      <patternFill patternType="solid">
        <fgColor rgb="FFB3CEFA"/>
        <bgColor rgb="FFB3CEFA"/>
      </patternFill>
    </fill>
    <fill>
      <patternFill patternType="solid">
        <fgColor rgb="FFFFFF00"/>
        <bgColor rgb="FFD9E6FC"/>
      </patternFill>
    </fill>
    <fill>
      <patternFill patternType="solid">
        <fgColor theme="4" tint="0.39997558519241921"/>
        <bgColor indexed="64"/>
      </patternFill>
    </fill>
    <fill>
      <patternFill patternType="solid">
        <fgColor theme="5" tint="0.39997558519241921"/>
        <bgColor indexed="64"/>
      </patternFill>
    </fill>
    <fill>
      <patternFill patternType="solid">
        <fgColor rgb="FFFFC000"/>
        <bgColor indexed="64"/>
      </patternFill>
    </fill>
    <fill>
      <patternFill patternType="solid">
        <fgColor rgb="FF00B050"/>
        <bgColor indexed="64"/>
      </patternFill>
    </fill>
    <fill>
      <patternFill patternType="solid">
        <fgColor rgb="FFFFFF00"/>
        <bgColor indexed="64"/>
      </patternFill>
    </fill>
  </fills>
  <borders count="16">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0" fontId="13" fillId="0" borderId="0" applyNumberFormat="0" applyFill="0" applyBorder="0" applyAlignment="0" applyProtection="0"/>
    <xf numFmtId="0" fontId="2" fillId="0" borderId="0"/>
  </cellStyleXfs>
  <cellXfs count="83">
    <xf numFmtId="0" fontId="0" fillId="0" borderId="0" xfId="0"/>
    <xf numFmtId="0" fontId="3" fillId="0" borderId="0" xfId="0" applyFont="1"/>
    <xf numFmtId="164" fontId="4" fillId="0" borderId="0" xfId="0" applyNumberFormat="1" applyFont="1"/>
    <xf numFmtId="0" fontId="5" fillId="0" borderId="0" xfId="0" applyFont="1"/>
    <xf numFmtId="0" fontId="6" fillId="0" borderId="0" xfId="0" applyFont="1"/>
    <xf numFmtId="164" fontId="5" fillId="0" borderId="0" xfId="0" applyNumberFormat="1" applyFont="1"/>
    <xf numFmtId="0" fontId="7" fillId="0" borderId="0" xfId="0" applyFont="1"/>
    <xf numFmtId="165" fontId="5" fillId="0" borderId="0" xfId="0" applyNumberFormat="1" applyFont="1"/>
    <xf numFmtId="0" fontId="8" fillId="0" borderId="0" xfId="0" applyFont="1"/>
    <xf numFmtId="0" fontId="5" fillId="0" borderId="0" xfId="0" applyFont="1" applyAlignment="1">
      <alignment horizontal="right"/>
    </xf>
    <xf numFmtId="0" fontId="9" fillId="0" borderId="0" xfId="0" applyFont="1"/>
    <xf numFmtId="0" fontId="10" fillId="0" borderId="0" xfId="0" applyFont="1"/>
    <xf numFmtId="0" fontId="11" fillId="0" borderId="0" xfId="0" applyFont="1"/>
    <xf numFmtId="0" fontId="12" fillId="0" borderId="0" xfId="0" applyFont="1"/>
    <xf numFmtId="0" fontId="0" fillId="0" borderId="1" xfId="0" pivotButton="1" applyBorder="1"/>
    <xf numFmtId="0" fontId="0" fillId="0" borderId="3" xfId="0" applyBorder="1"/>
    <xf numFmtId="0" fontId="0" fillId="0" borderId="1" xfId="0" applyBorder="1" applyAlignment="1">
      <alignment horizontal="left"/>
    </xf>
    <xf numFmtId="0" fontId="0" fillId="0" borderId="2" xfId="0" applyBorder="1" applyAlignment="1">
      <alignment horizontal="left"/>
    </xf>
    <xf numFmtId="0" fontId="0" fillId="0" borderId="4" xfId="0" applyBorder="1"/>
    <xf numFmtId="0" fontId="0" fillId="0" borderId="6" xfId="0" applyBorder="1" applyAlignment="1">
      <alignment horizontal="left"/>
    </xf>
    <xf numFmtId="0" fontId="0" fillId="0" borderId="5" xfId="0" applyBorder="1"/>
    <xf numFmtId="0" fontId="2" fillId="0" borderId="0" xfId="2"/>
    <xf numFmtId="0" fontId="14" fillId="0" borderId="8" xfId="0" applyFont="1" applyBorder="1"/>
    <xf numFmtId="0" fontId="14" fillId="0" borderId="9" xfId="0" applyFont="1" applyBorder="1"/>
    <xf numFmtId="0" fontId="0" fillId="0" borderId="11" xfId="0" applyBorder="1"/>
    <xf numFmtId="0" fontId="0" fillId="0" borderId="13" xfId="0" applyBorder="1"/>
    <xf numFmtId="0" fontId="14" fillId="0" borderId="10" xfId="0" applyFont="1" applyBorder="1"/>
    <xf numFmtId="0" fontId="0" fillId="5" borderId="7" xfId="0" applyFill="1" applyBorder="1"/>
    <xf numFmtId="0" fontId="0" fillId="5" borderId="14" xfId="0" applyFill="1" applyBorder="1"/>
    <xf numFmtId="0" fontId="0" fillId="6" borderId="7" xfId="0" applyFill="1" applyBorder="1"/>
    <xf numFmtId="0" fontId="0" fillId="6" borderId="14" xfId="0" applyFill="1" applyBorder="1"/>
    <xf numFmtId="0" fontId="0" fillId="7" borderId="12" xfId="0" applyFill="1" applyBorder="1"/>
    <xf numFmtId="0" fontId="0" fillId="7" borderId="15" xfId="0" applyFill="1" applyBorder="1"/>
    <xf numFmtId="0" fontId="15" fillId="0" borderId="8" xfId="0" applyFont="1" applyBorder="1" applyAlignment="1">
      <alignment horizontal="left" vertical="center"/>
    </xf>
    <xf numFmtId="0" fontId="15" fillId="0" borderId="9" xfId="0" applyFont="1" applyBorder="1" applyAlignment="1">
      <alignment horizontal="left" vertical="center"/>
    </xf>
    <xf numFmtId="0" fontId="15" fillId="0" borderId="10" xfId="0" applyFont="1" applyBorder="1" applyAlignment="1">
      <alignment horizontal="left" vertical="center"/>
    </xf>
    <xf numFmtId="0" fontId="15" fillId="0" borderId="11" xfId="0" applyFont="1" applyBorder="1" applyAlignment="1">
      <alignment vertical="center"/>
    </xf>
    <xf numFmtId="0" fontId="17" fillId="0" borderId="7" xfId="0" applyFont="1" applyBorder="1" applyAlignment="1">
      <alignment vertical="center"/>
    </xf>
    <xf numFmtId="0" fontId="15" fillId="0" borderId="12" xfId="0" applyFont="1" applyBorder="1" applyAlignment="1">
      <alignment vertical="center"/>
    </xf>
    <xf numFmtId="0" fontId="15" fillId="0" borderId="7" xfId="0" applyFont="1" applyBorder="1" applyAlignment="1">
      <alignment vertical="center"/>
    </xf>
    <xf numFmtId="0" fontId="16" fillId="0" borderId="11" xfId="0" applyFont="1" applyBorder="1"/>
    <xf numFmtId="0" fontId="15" fillId="0" borderId="7" xfId="0" applyFont="1" applyBorder="1"/>
    <xf numFmtId="0" fontId="15" fillId="0" borderId="12" xfId="0" applyFont="1" applyBorder="1"/>
    <xf numFmtId="0" fontId="15" fillId="0" borderId="11" xfId="0" applyFont="1" applyBorder="1"/>
    <xf numFmtId="0" fontId="15" fillId="0" borderId="7" xfId="1" applyFont="1" applyBorder="1"/>
    <xf numFmtId="0" fontId="15" fillId="0" borderId="7" xfId="1" applyFont="1" applyBorder="1" applyAlignment="1">
      <alignment vertical="center"/>
    </xf>
    <xf numFmtId="0" fontId="2" fillId="0" borderId="0" xfId="2" applyAlignment="1">
      <alignment horizontal="right"/>
    </xf>
    <xf numFmtId="0" fontId="2" fillId="0" borderId="7" xfId="2" applyBorder="1"/>
    <xf numFmtId="0" fontId="2" fillId="0" borderId="7" xfId="2" applyBorder="1" applyAlignment="1">
      <alignment horizontal="right"/>
    </xf>
    <xf numFmtId="16" fontId="2" fillId="0" borderId="7" xfId="2" applyNumberFormat="1" applyBorder="1"/>
    <xf numFmtId="0" fontId="2" fillId="8" borderId="7" xfId="2" applyFill="1" applyBorder="1"/>
    <xf numFmtId="0" fontId="2" fillId="8" borderId="7" xfId="2" applyFill="1" applyBorder="1" applyAlignment="1">
      <alignment horizontal="right"/>
    </xf>
    <xf numFmtId="0" fontId="19" fillId="0" borderId="13" xfId="0" applyFont="1" applyBorder="1"/>
    <xf numFmtId="0" fontId="19" fillId="5" borderId="14" xfId="0" applyFont="1" applyFill="1" applyBorder="1"/>
    <xf numFmtId="0" fontId="19" fillId="6" borderId="14" xfId="0" applyFont="1" applyFill="1" applyBorder="1"/>
    <xf numFmtId="0" fontId="19" fillId="7" borderId="15" xfId="0" applyFont="1" applyFill="1" applyBorder="1"/>
    <xf numFmtId="0" fontId="19" fillId="0" borderId="0" xfId="0" applyFont="1"/>
    <xf numFmtId="0" fontId="1" fillId="0" borderId="7" xfId="2" applyFont="1" applyBorder="1"/>
    <xf numFmtId="0" fontId="13" fillId="2" borderId="7" xfId="1" applyFill="1" applyBorder="1" applyAlignment="1"/>
    <xf numFmtId="0" fontId="13" fillId="3" borderId="7" xfId="1" applyFill="1" applyBorder="1" applyAlignment="1"/>
    <xf numFmtId="0" fontId="18" fillId="2" borderId="7" xfId="0" applyFont="1" applyFill="1" applyBorder="1"/>
    <xf numFmtId="164" fontId="15" fillId="0" borderId="0" xfId="0" applyNumberFormat="1" applyFont="1"/>
    <xf numFmtId="0" fontId="15" fillId="0" borderId="13" xfId="0" applyFont="1" applyBorder="1"/>
    <xf numFmtId="0" fontId="18" fillId="2" borderId="14" xfId="0" applyFont="1" applyFill="1" applyBorder="1"/>
    <xf numFmtId="0" fontId="13" fillId="2" borderId="14" xfId="1" applyFill="1" applyBorder="1" applyAlignment="1"/>
    <xf numFmtId="0" fontId="15" fillId="8" borderId="8" xfId="0" applyFont="1" applyFill="1" applyBorder="1"/>
    <xf numFmtId="0" fontId="15" fillId="8" borderId="9" xfId="0" applyFont="1" applyFill="1" applyBorder="1"/>
    <xf numFmtId="164" fontId="15" fillId="8" borderId="9" xfId="0" applyNumberFormat="1" applyFont="1" applyFill="1" applyBorder="1"/>
    <xf numFmtId="164" fontId="18" fillId="2" borderId="0" xfId="0" applyNumberFormat="1" applyFont="1" applyFill="1"/>
    <xf numFmtId="0" fontId="18" fillId="3" borderId="7" xfId="0" applyFont="1" applyFill="1" applyBorder="1"/>
    <xf numFmtId="164" fontId="18" fillId="3" borderId="0" xfId="0" quotePrefix="1" applyNumberFormat="1" applyFont="1" applyFill="1"/>
    <xf numFmtId="164" fontId="18" fillId="3" borderId="0" xfId="0" applyNumberFormat="1" applyFont="1" applyFill="1"/>
    <xf numFmtId="0" fontId="18" fillId="4" borderId="7" xfId="0" applyFont="1" applyFill="1" applyBorder="1"/>
    <xf numFmtId="164" fontId="0" fillId="0" borderId="0" xfId="0" applyNumberFormat="1"/>
    <xf numFmtId="164" fontId="20" fillId="8" borderId="10" xfId="0" applyNumberFormat="1" applyFont="1" applyFill="1" applyBorder="1"/>
    <xf numFmtId="164" fontId="21" fillId="2" borderId="12" xfId="0" applyNumberFormat="1" applyFont="1" applyFill="1" applyBorder="1"/>
    <xf numFmtId="164" fontId="21" fillId="3" borderId="12" xfId="0" applyNumberFormat="1" applyFont="1" applyFill="1" applyBorder="1"/>
    <xf numFmtId="164" fontId="21" fillId="2" borderId="15" xfId="0" applyNumberFormat="1" applyFont="1" applyFill="1" applyBorder="1"/>
    <xf numFmtId="164" fontId="22" fillId="0" borderId="0" xfId="0" applyNumberFormat="1" applyFont="1"/>
    <xf numFmtId="0" fontId="2" fillId="9" borderId="7" xfId="2" applyFill="1" applyBorder="1"/>
    <xf numFmtId="0" fontId="2" fillId="9" borderId="7" xfId="2" applyFill="1" applyBorder="1" applyAlignment="1">
      <alignment horizontal="right"/>
    </xf>
    <xf numFmtId="0" fontId="2" fillId="9" borderId="0" xfId="2" applyFill="1"/>
    <xf numFmtId="0" fontId="13" fillId="0" borderId="7" xfId="1" applyBorder="1" applyAlignment="1">
      <alignment vertical="center"/>
    </xf>
  </cellXfs>
  <cellStyles count="3">
    <cellStyle name="Hyperlink" xfId="1" builtinId="8"/>
    <cellStyle name="Normal" xfId="0" builtinId="0"/>
    <cellStyle name="Normal 2" xfId="2" xr:uid="{3287F7E3-E3CE-4219-8AB0-CCC6977B59F0}"/>
  </cellStyles>
  <dxfs count="55">
    <dxf>
      <numFmt numFmtId="0" formatCode="General"/>
      <fill>
        <patternFill patternType="solid">
          <fgColor indexed="64"/>
          <bgColor rgb="FFFFC000"/>
        </patternFill>
      </fill>
      <border diagonalUp="0" diagonalDown="0" outline="0">
        <left style="thin">
          <color indexed="64"/>
        </left>
        <right/>
        <top style="thin">
          <color indexed="64"/>
        </top>
        <bottom style="thin">
          <color indexed="64"/>
        </bottom>
      </border>
    </dxf>
    <dxf>
      <numFmt numFmtId="0" formatCode="General"/>
      <fill>
        <patternFill patternType="solid">
          <fgColor indexed="64"/>
          <bgColor theme="5" tint="0.39997558519241921"/>
        </patternFill>
      </fill>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4" tint="0.39997558519241921"/>
        </patternFill>
      </fill>
      <border diagonalUp="0" diagonalDown="0" outline="0">
        <left style="thin">
          <color indexed="64"/>
        </left>
        <right style="thin">
          <color indexed="64"/>
        </right>
        <top style="thin">
          <color indexed="64"/>
        </top>
        <bottom style="thin">
          <color indexed="64"/>
        </bottom>
      </border>
    </dxf>
    <dxf>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val="0"/>
        <i val="0"/>
        <strike val="0"/>
        <condense val="0"/>
        <extend val="0"/>
        <outline val="0"/>
        <shadow val="0"/>
        <u val="none"/>
        <vertAlign val="baseline"/>
        <sz val="10"/>
        <color rgb="FF000000"/>
        <name val="Arial"/>
        <family val="2"/>
        <scheme val="minor"/>
      </font>
      <border diagonalUp="0" diagonalDown="0">
        <left style="thin">
          <color indexed="64"/>
        </left>
        <right style="thin">
          <color indexed="64"/>
        </right>
        <top/>
        <bottom/>
        <vertical style="thin">
          <color indexed="64"/>
        </vertical>
        <horizontal style="thin">
          <color indexed="64"/>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color auto="1"/>
      </font>
      <border diagonalUp="0" diagonalDown="0">
        <left style="thin">
          <color indexed="64"/>
        </left>
        <right/>
        <top style="thin">
          <color indexed="64"/>
        </top>
        <bottom style="thin">
          <color indexed="64"/>
        </bottom>
        <vertical style="thin">
          <color indexed="64"/>
        </vertical>
        <horizontal style="thin">
          <color indexed="64"/>
        </horizontal>
      </border>
    </dxf>
    <dxf>
      <font>
        <b val="0"/>
        <strike val="0"/>
        <outline val="0"/>
        <shadow val="0"/>
        <u val="none"/>
        <vertAlign val="baseline"/>
        <color auto="1"/>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color auto="1"/>
      </font>
      <border diagonalUp="0" diagonalDown="0">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color auto="1"/>
      </font>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val="0"/>
        <strike val="0"/>
        <outline val="0"/>
        <shadow val="0"/>
        <u val="none"/>
        <vertAlign val="baseline"/>
        <color auto="1"/>
      </font>
    </dxf>
    <dxf>
      <border>
        <bottom style="thin">
          <color indexed="64"/>
        </bottom>
      </border>
    </dxf>
    <dxf>
      <font>
        <b val="0"/>
        <strike val="0"/>
        <outline val="0"/>
        <shadow val="0"/>
        <u val="none"/>
        <vertAlign val="baseline"/>
        <color auto="1"/>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0"/>
        <color auto="1"/>
        <name val="Arial"/>
        <family val="2"/>
      </font>
      <alignment vertical="bottom" textRotation="0" wrapText="0" indent="0" justifyLastLine="0" shrinkToFit="0" readingOrder="0"/>
    </dxf>
    <dxf>
      <font>
        <b val="0"/>
        <i val="0"/>
        <strike val="0"/>
        <condense val="0"/>
        <extend val="0"/>
        <outline val="0"/>
        <shadow val="0"/>
        <u val="none"/>
        <vertAlign val="baseline"/>
        <sz val="8"/>
        <color auto="1"/>
        <name val="Arial"/>
        <scheme val="none"/>
      </font>
      <numFmt numFmtId="164" formatCode="[$-F800]dddd\,\ mmmm\ dd\,\ yyyy"/>
      <fill>
        <patternFill patternType="solid">
          <fgColor rgb="FFD9E6FC"/>
          <bgColor rgb="FFD9E6FC"/>
        </patternFill>
      </fill>
      <alignment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rgb="FFD9E6FC"/>
          <bgColor rgb="FFD9E6FC"/>
        </patternFill>
      </fill>
      <alignmen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rgb="FFD9E6FC"/>
          <bgColor rgb="FFD9E6FC"/>
        </patternFill>
      </fill>
      <alignmen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font>
      <alignment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font>
      <alignment vertical="bottom" textRotation="0" wrapText="0" indent="0" justifyLastLine="0" shrinkToFit="0" readingOrder="0"/>
    </dxf>
    <dxf>
      <border>
        <bottom style="thin">
          <color indexed="64"/>
        </bottom>
      </border>
    </dxf>
    <dxf>
      <font>
        <b val="0"/>
        <i val="0"/>
        <strike val="0"/>
        <condense val="0"/>
        <extend val="0"/>
        <outline val="0"/>
        <shadow val="0"/>
        <u val="none"/>
        <vertAlign val="baseline"/>
        <sz val="10"/>
        <color auto="1"/>
        <name val="Arial"/>
        <family val="2"/>
        <scheme val="minor"/>
      </font>
      <fill>
        <patternFill patternType="solid">
          <fgColor indexed="64"/>
          <bgColor rgb="FF00B050"/>
        </patternFill>
      </fill>
      <alignment vertical="bottom" textRotation="0" wrapText="0" indent="0" justifyLastLine="0" shrinkToFit="0" readingOrder="0"/>
      <border diagonalUp="0" diagonalDown="0" outline="0">
        <left style="thin">
          <color indexed="64"/>
        </left>
        <right style="thin">
          <color indexed="64"/>
        </right>
        <top/>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B3CEFA"/>
          <bgColor rgb="FFB3CEFA"/>
        </patternFill>
      </fill>
    </dxf>
    <dxf>
      <fill>
        <patternFill patternType="solid">
          <fgColor rgb="FFD9E6FC"/>
          <bgColor rgb="FFD9E6FC"/>
        </patternFill>
      </fill>
    </dxf>
    <dxf>
      <fill>
        <patternFill patternType="solid">
          <fgColor theme="4"/>
          <bgColor theme="4"/>
        </patternFill>
      </fill>
    </dxf>
    <dxf>
      <fill>
        <patternFill patternType="solid">
          <fgColor rgb="FFB3CEFA"/>
          <bgColor rgb="FFB3CEFA"/>
        </patternFill>
      </fill>
    </dxf>
    <dxf>
      <fill>
        <patternFill patternType="solid">
          <fgColor rgb="FFD9E6FC"/>
          <bgColor rgb="FFD9E6FC"/>
        </patternFill>
      </fill>
    </dxf>
    <dxf>
      <fill>
        <patternFill patternType="solid">
          <fgColor theme="4"/>
          <bgColor theme="4"/>
        </patternFill>
      </fill>
    </dxf>
    <dxf>
      <fill>
        <patternFill patternType="solid">
          <fgColor rgb="FFB3CEFA"/>
          <bgColor rgb="FFB3CEFA"/>
        </patternFill>
      </fill>
    </dxf>
    <dxf>
      <fill>
        <patternFill patternType="solid">
          <fgColor rgb="FFD9E6FC"/>
          <bgColor rgb="FFD9E6FC"/>
        </patternFill>
      </fill>
    </dxf>
    <dxf>
      <fill>
        <patternFill patternType="solid">
          <fgColor theme="4"/>
          <bgColor theme="4"/>
        </patternFill>
      </fill>
    </dxf>
  </dxfs>
  <tableStyles count="4">
    <tableStyle name="SCMP-style" pivot="0" count="3" xr9:uid="{00000000-0011-0000-FFFF-FFFF00000000}">
      <tableStyleElement type="headerRow" dxfId="54"/>
      <tableStyleElement type="firstRowStripe" dxfId="53"/>
      <tableStyleElement type="secondRowStripe" dxfId="52"/>
    </tableStyle>
    <tableStyle name="Nikkei Asia-style" pivot="0" count="3" xr9:uid="{00000000-0011-0000-FFFF-FFFF01000000}">
      <tableStyleElement type="headerRow" dxfId="51"/>
      <tableStyleElement type="firstRowStripe" dxfId="50"/>
      <tableStyleElement type="secondRowStripe" dxfId="49"/>
    </tableStyle>
    <tableStyle name="ST-style" pivot="0" count="3" xr9:uid="{00000000-0011-0000-FFFF-FFFF02000000}">
      <tableStyleElement type="headerRow" dxfId="48"/>
      <tableStyleElement type="firstRowStripe" dxfId="47"/>
      <tableStyleElement type="secondRowStripe" dxfId="46"/>
    </tableStyle>
    <tableStyle name="ASEAN Doc-style" pivot="0" count="3" xr9:uid="{00000000-0011-0000-FFFF-FFFF03000000}">
      <tableStyleElement type="headerRow" dxfId="45"/>
      <tableStyleElement type="firstRowStripe" dxfId="44"/>
      <tableStyleElement type="secondRowStripe" dxfId="4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CHART_Summary!$C$2</c:f>
              <c:strCache>
                <c:ptCount val="1"/>
                <c:pt idx="0">
                  <c:v>Documents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CHART_Summary!$B$3:$B$16</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CHART_Summary!$C$3:$C$16</c:f>
              <c:numCache>
                <c:formatCode>General</c:formatCode>
                <c:ptCount val="14"/>
                <c:pt idx="0">
                  <c:v>3</c:v>
                </c:pt>
                <c:pt idx="1">
                  <c:v>3</c:v>
                </c:pt>
                <c:pt idx="2">
                  <c:v>3</c:v>
                </c:pt>
                <c:pt idx="3">
                  <c:v>5</c:v>
                </c:pt>
                <c:pt idx="4">
                  <c:v>4</c:v>
                </c:pt>
                <c:pt idx="5">
                  <c:v>3</c:v>
                </c:pt>
                <c:pt idx="6">
                  <c:v>3</c:v>
                </c:pt>
                <c:pt idx="7">
                  <c:v>2</c:v>
                </c:pt>
                <c:pt idx="8">
                  <c:v>4</c:v>
                </c:pt>
                <c:pt idx="9">
                  <c:v>0</c:v>
                </c:pt>
                <c:pt idx="10">
                  <c:v>3</c:v>
                </c:pt>
                <c:pt idx="11">
                  <c:v>4</c:v>
                </c:pt>
                <c:pt idx="12">
                  <c:v>6</c:v>
                </c:pt>
                <c:pt idx="13">
                  <c:v>6</c:v>
                </c:pt>
              </c:numCache>
            </c:numRef>
          </c:val>
          <c:extLst>
            <c:ext xmlns:c16="http://schemas.microsoft.com/office/drawing/2014/chart" uri="{C3380CC4-5D6E-409C-BE32-E72D297353CC}">
              <c16:uniqueId val="{00000002-8F5A-4901-9CFC-96D56BB132FB}"/>
            </c:ext>
          </c:extLst>
        </c:ser>
        <c:ser>
          <c:idx val="1"/>
          <c:order val="1"/>
          <c:tx>
            <c:strRef>
              <c:f>CHART_Summary!$D$2</c:f>
              <c:strCache>
                <c:ptCount val="1"/>
                <c:pt idx="0">
                  <c:v>News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CHART_Summary!$B$3:$B$16</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CHART_Summary!$D$3:$D$16</c:f>
              <c:numCache>
                <c:formatCode>General</c:formatCode>
                <c:ptCount val="14"/>
                <c:pt idx="0">
                  <c:v>1</c:v>
                </c:pt>
                <c:pt idx="1">
                  <c:v>0</c:v>
                </c:pt>
                <c:pt idx="2">
                  <c:v>2</c:v>
                </c:pt>
                <c:pt idx="3">
                  <c:v>2</c:v>
                </c:pt>
                <c:pt idx="4">
                  <c:v>5</c:v>
                </c:pt>
                <c:pt idx="5">
                  <c:v>6</c:v>
                </c:pt>
                <c:pt idx="6">
                  <c:v>6</c:v>
                </c:pt>
                <c:pt idx="7">
                  <c:v>10</c:v>
                </c:pt>
                <c:pt idx="8">
                  <c:v>3</c:v>
                </c:pt>
                <c:pt idx="9">
                  <c:v>8</c:v>
                </c:pt>
                <c:pt idx="10">
                  <c:v>6</c:v>
                </c:pt>
                <c:pt idx="11">
                  <c:v>2</c:v>
                </c:pt>
                <c:pt idx="12">
                  <c:v>22</c:v>
                </c:pt>
                <c:pt idx="13">
                  <c:v>11</c:v>
                </c:pt>
              </c:numCache>
            </c:numRef>
          </c:val>
          <c:extLst>
            <c:ext xmlns:c16="http://schemas.microsoft.com/office/drawing/2014/chart" uri="{C3380CC4-5D6E-409C-BE32-E72D297353CC}">
              <c16:uniqueId val="{00000003-8F5A-4901-9CFC-96D56BB132FB}"/>
            </c:ext>
          </c:extLst>
        </c:ser>
        <c:ser>
          <c:idx val="2"/>
          <c:order val="2"/>
          <c:tx>
            <c:strRef>
              <c:f>CHART_Summary!$E$2</c:f>
              <c:strCache>
                <c:ptCount val="1"/>
                <c:pt idx="0">
                  <c:v>Scholarly Articles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CHART_Summary!$B$3:$B$16</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CHART_Summary!$E$3:$E$16</c:f>
              <c:numCache>
                <c:formatCode>General</c:formatCode>
                <c:ptCount val="14"/>
                <c:pt idx="0">
                  <c:v>0</c:v>
                </c:pt>
                <c:pt idx="1">
                  <c:v>1</c:v>
                </c:pt>
                <c:pt idx="2">
                  <c:v>6</c:v>
                </c:pt>
                <c:pt idx="3">
                  <c:v>1</c:v>
                </c:pt>
                <c:pt idx="4">
                  <c:v>4</c:v>
                </c:pt>
                <c:pt idx="5">
                  <c:v>7</c:v>
                </c:pt>
                <c:pt idx="6">
                  <c:v>6</c:v>
                </c:pt>
                <c:pt idx="7">
                  <c:v>6</c:v>
                </c:pt>
                <c:pt idx="8">
                  <c:v>8</c:v>
                </c:pt>
                <c:pt idx="9">
                  <c:v>5</c:v>
                </c:pt>
                <c:pt idx="10">
                  <c:v>12</c:v>
                </c:pt>
                <c:pt idx="11">
                  <c:v>11</c:v>
                </c:pt>
                <c:pt idx="12">
                  <c:v>19</c:v>
                </c:pt>
                <c:pt idx="13">
                  <c:v>12</c:v>
                </c:pt>
              </c:numCache>
            </c:numRef>
          </c:val>
          <c:extLst>
            <c:ext xmlns:c16="http://schemas.microsoft.com/office/drawing/2014/chart" uri="{C3380CC4-5D6E-409C-BE32-E72D297353CC}">
              <c16:uniqueId val="{00000005-8F5A-4901-9CFC-96D56BB132FB}"/>
            </c:ext>
          </c:extLst>
        </c:ser>
        <c:dLbls>
          <c:dLblPos val="outEnd"/>
          <c:showLegendKey val="0"/>
          <c:showVal val="1"/>
          <c:showCatName val="0"/>
          <c:showSerName val="0"/>
          <c:showPercent val="0"/>
          <c:showBubbleSize val="0"/>
        </c:dLbls>
        <c:gapWidth val="219"/>
        <c:axId val="1848825615"/>
        <c:axId val="1848838095"/>
      </c:barChart>
      <c:catAx>
        <c:axId val="184882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838095"/>
        <c:crosses val="autoZero"/>
        <c:auto val="1"/>
        <c:lblAlgn val="ctr"/>
        <c:lblOffset val="100"/>
        <c:noMultiLvlLbl val="0"/>
      </c:catAx>
      <c:valAx>
        <c:axId val="1848838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82561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[RESOURCES.xlsx]Scopus_articles!PivotTable8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Scopus_articles!$V$3</c:f>
              <c:strCache>
                <c:ptCount val="1"/>
                <c:pt idx="0">
                  <c:v>Total</c:v>
                </c:pt>
              </c:strCache>
            </c:strRef>
          </c:tx>
          <c:spPr>
            <a:solidFill>
              <a:schemeClr val="accent1"/>
            </a:solidFill>
            <a:ln>
              <a:noFill/>
            </a:ln>
            <a:effectLst/>
          </c:spPr>
          <c:invertIfNegative val="0"/>
          <c:cat>
            <c:strRef>
              <c:f>Scopus_articles!$U$4:$U$17</c:f>
              <c:strCache>
                <c:ptCount val="13"/>
                <c:pt idx="0">
                  <c:v>2010</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Scopus_articles!$V$4:$V$17</c:f>
              <c:numCache>
                <c:formatCode>General</c:formatCode>
                <c:ptCount val="13"/>
                <c:pt idx="0">
                  <c:v>1</c:v>
                </c:pt>
                <c:pt idx="1">
                  <c:v>1</c:v>
                </c:pt>
                <c:pt idx="2">
                  <c:v>6</c:v>
                </c:pt>
                <c:pt idx="3">
                  <c:v>1</c:v>
                </c:pt>
                <c:pt idx="4">
                  <c:v>4</c:v>
                </c:pt>
                <c:pt idx="5">
                  <c:v>7</c:v>
                </c:pt>
                <c:pt idx="6">
                  <c:v>6</c:v>
                </c:pt>
                <c:pt idx="7">
                  <c:v>6</c:v>
                </c:pt>
                <c:pt idx="8">
                  <c:v>8</c:v>
                </c:pt>
                <c:pt idx="9">
                  <c:v>5</c:v>
                </c:pt>
                <c:pt idx="10">
                  <c:v>12</c:v>
                </c:pt>
                <c:pt idx="11">
                  <c:v>11</c:v>
                </c:pt>
                <c:pt idx="12">
                  <c:v>19</c:v>
                </c:pt>
              </c:numCache>
            </c:numRef>
          </c:val>
          <c:extLst>
            <c:ext xmlns:c16="http://schemas.microsoft.com/office/drawing/2014/chart" uri="{C3380CC4-5D6E-409C-BE32-E72D297353CC}">
              <c16:uniqueId val="{00000002-74A6-469C-85C3-1FC3CF2511BA}"/>
            </c:ext>
          </c:extLst>
        </c:ser>
        <c:dLbls>
          <c:showLegendKey val="0"/>
          <c:showVal val="0"/>
          <c:showCatName val="0"/>
          <c:showSerName val="0"/>
          <c:showPercent val="0"/>
          <c:showBubbleSize val="0"/>
        </c:dLbls>
        <c:gapWidth val="219"/>
        <c:overlap val="-27"/>
        <c:axId val="1848820335"/>
        <c:axId val="1848821295"/>
      </c:barChart>
      <c:catAx>
        <c:axId val="184882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821295"/>
        <c:crosses val="autoZero"/>
        <c:auto val="1"/>
        <c:lblAlgn val="ctr"/>
        <c:lblOffset val="100"/>
        <c:noMultiLvlLbl val="0"/>
      </c:catAx>
      <c:valAx>
        <c:axId val="1848821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820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95250</xdr:colOff>
      <xdr:row>0</xdr:row>
      <xdr:rowOff>133350</xdr:rowOff>
    </xdr:from>
    <xdr:to>
      <xdr:col>15</xdr:col>
      <xdr:colOff>247650</xdr:colOff>
      <xdr:row>17</xdr:row>
      <xdr:rowOff>123825</xdr:rowOff>
    </xdr:to>
    <xdr:graphicFrame macro="">
      <xdr:nvGraphicFramePr>
        <xdr:cNvPr id="2" name="Chart 1">
          <a:extLst>
            <a:ext uri="{FF2B5EF4-FFF2-40B4-BE49-F238E27FC236}">
              <a16:creationId xmlns:a16="http://schemas.microsoft.com/office/drawing/2014/main" id="{A8769149-27EF-BD88-87EE-0F7B9C638B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19</xdr:col>
      <xdr:colOff>466725</xdr:colOff>
      <xdr:row>19</xdr:row>
      <xdr:rowOff>104775</xdr:rowOff>
    </xdr:from>
    <xdr:to>
      <xdr:col>26</xdr:col>
      <xdr:colOff>66675</xdr:colOff>
      <xdr:row>34</xdr:row>
      <xdr:rowOff>133350</xdr:rowOff>
    </xdr:to>
    <xdr:graphicFrame macro="">
      <xdr:nvGraphicFramePr>
        <xdr:cNvPr id="3" name="Chart 2">
          <a:extLst>
            <a:ext uri="{FF2B5EF4-FFF2-40B4-BE49-F238E27FC236}">
              <a16:creationId xmlns:a16="http://schemas.microsoft.com/office/drawing/2014/main" id="{9552285A-61AB-0455-1194-9F3100BD82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ad Anwar" refreshedDate="45537.972921180553" createdVersion="8" refreshedVersion="8" minRefreshableVersion="3" recordCount="99" xr:uid="{706496EB-3B77-4E82-8F09-6D021431C895}">
  <cacheSource type="worksheet">
    <worksheetSource name="Table17"/>
  </cacheSource>
  <cacheFields count="20">
    <cacheField name="Authors" numFmtId="0">
      <sharedItems/>
    </cacheField>
    <cacheField name="Author full names" numFmtId="0">
      <sharedItems/>
    </cacheField>
    <cacheField name="Author(s) ID" numFmtId="0">
      <sharedItems containsMixedTypes="1" containsNumber="1" containsInteger="1" minValue="6603105847" maxValue="59278425200"/>
    </cacheField>
    <cacheField name="Title" numFmtId="0">
      <sharedItems/>
    </cacheField>
    <cacheField name="Year" numFmtId="0">
      <sharedItems containsSemiMixedTypes="0" containsString="0" containsNumber="1" containsInteger="1" minValue="2010" maxValue="2024" count="14">
        <n v="2010"/>
        <n v="2012"/>
        <n v="2013"/>
        <n v="2014"/>
        <n v="2015"/>
        <n v="2016"/>
        <n v="2017"/>
        <n v="2018"/>
        <n v="2019"/>
        <n v="2020"/>
        <n v="2021"/>
        <n v="2022"/>
        <n v="2023"/>
        <n v="2024"/>
      </sharedItems>
    </cacheField>
    <cacheField name="Source title" numFmtId="0">
      <sharedItems/>
    </cacheField>
    <cacheField name="Volume" numFmtId="0">
      <sharedItems containsString="0" containsBlank="1" containsNumber="1" containsInteger="1" minValue="2" maxValue="165"/>
    </cacheField>
    <cacheField name="Issue" numFmtId="0">
      <sharedItems containsDate="1" containsString="0" containsBlank="1" containsMixedTypes="1" minDate="1899-12-31T04:01:03" maxDate="1899-12-31T00:35:04"/>
    </cacheField>
    <cacheField name="Art. No." numFmtId="0">
      <sharedItems containsString="0" containsBlank="1" containsNumber="1" containsInteger="1" minValue="5" maxValue="2317533"/>
    </cacheField>
    <cacheField name="Page start" numFmtId="0">
      <sharedItems containsString="0" containsBlank="1" containsNumber="1" containsInteger="1" minValue="1" maxValue="2078"/>
    </cacheField>
    <cacheField name="Page end" numFmtId="0">
      <sharedItems containsString="0" containsBlank="1" containsNumber="1" containsInteger="1" minValue="28" maxValue="2087"/>
    </cacheField>
    <cacheField name="Page count" numFmtId="0">
      <sharedItems containsString="0" containsBlank="1" containsNumber="1" containsInteger="1" minValue="3" maxValue="108"/>
    </cacheField>
    <cacheField name="Cited by" numFmtId="0">
      <sharedItems containsSemiMixedTypes="0" containsString="0" containsNumber="1" containsInteger="1" minValue="0" maxValue="99"/>
    </cacheField>
    <cacheField name="DOI" numFmtId="0">
      <sharedItems containsBlank="1"/>
    </cacheField>
    <cacheField name="Link" numFmtId="0">
      <sharedItems/>
    </cacheField>
    <cacheField name="Document Type" numFmtId="0">
      <sharedItems/>
    </cacheField>
    <cacheField name="Publication Stage" numFmtId="0">
      <sharedItems/>
    </cacheField>
    <cacheField name="Open Access" numFmtId="0">
      <sharedItems containsBlank="1"/>
    </cacheField>
    <cacheField name="Source" numFmtId="0">
      <sharedItems/>
    </cacheField>
    <cacheField name="EI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s v="Capie D."/>
    <s v="Capie, David (25645997100)"/>
    <n v="25645997100"/>
    <s v="When does track two matter? Structure, agency and Asian regionalism"/>
    <x v="0"/>
    <s v="Review of International Political Economy"/>
    <n v="17"/>
    <n v="2"/>
    <m/>
    <n v="291"/>
    <n v="318"/>
    <n v="27"/>
    <n v="33"/>
    <s v="10.1080/09692290903378801"/>
    <s v="https://www.scopus.com/inward/record.uri?eid=2-s2.0-77953588086&amp;doi=10.1080%2f09692290903378801&amp;partnerID=40&amp;md5=3b5cff0d7f06fb1707aae43e191ce2e2"/>
    <s v="Article"/>
    <s v="Final"/>
    <m/>
    <s v="Scopus"/>
    <s v="2-s2.0-77953588086"/>
  </r>
  <r>
    <s v="Lin S.; Grundy-Warr C."/>
    <s v="Lin, Shaun (56169941900); Grundy-Warr, Carl (6603304095)"/>
    <s v="56169941900; 6603304095"/>
    <s v="ASEAN and interconnecting regional spheres: Lessons for the Indian Ocean Region"/>
    <x v="1"/>
    <s v="Journal of the Indian Ocean Region"/>
    <n v="8"/>
    <n v="1"/>
    <m/>
    <n v="54"/>
    <n v="70"/>
    <n v="16"/>
    <n v="7"/>
    <s v="10.1080/19480881.2012.683628"/>
    <s v="https://www.scopus.com/inward/record.uri?eid=2-s2.0-84862281005&amp;doi=10.1080%2f19480881.2012.683628&amp;partnerID=40&amp;md5=c20b06beffa776a95eba3fc6d48f5dad"/>
    <s v="Article"/>
    <s v="Final"/>
    <s v="All Open Access; Green Open Access"/>
    <s v="Scopus"/>
    <s v="2-s2.0-84862281005"/>
  </r>
  <r>
    <s v="Tran P.T.; Vieira A.V.G.; Ferreira-Pereira L.C."/>
    <s v="Tran, Phuc Thi (57209819526); Vieira, Alena Vysotskaya G. (56803273000); Ferreira-Pereira, Laura C. (13604977500)"/>
    <s v="57209819526; 56803273000; 13604977500"/>
    <s v="Vietnam's strategic hedging vis-à-vis china: The roles of the European Union and Russia; [O hedging estratégico do Vietnam face à ascensão da china: O papel da União Europeia e da Rússia]"/>
    <x v="2"/>
    <s v="Revista Brasileira de Politica Internacional"/>
    <n v="56"/>
    <n v="1"/>
    <m/>
    <n v="163"/>
    <n v="182"/>
    <n v="19"/>
    <n v="15"/>
    <s v="10.1590/S0034-73292013000100009"/>
    <s v="https://www.scopus.com/inward/record.uri?eid=2-s2.0-84881486656&amp;doi=10.1590%2fS0034-73292013000100009&amp;partnerID=40&amp;md5=93583c08a2e2407bb8a84dadd4ca55cb"/>
    <s v="Article"/>
    <s v="Final"/>
    <s v="All Open Access; Gold Open Access; Green Open Access"/>
    <s v="Scopus"/>
    <s v="2-s2.0-84881486656"/>
  </r>
  <r>
    <s v="Ren H.-F.; Liu F.U.-K."/>
    <s v="Ren, Huai-Feng (55868974100); Liu, F.U.-Kuo (56883314700)"/>
    <s v="55868974100; 56883314700"/>
    <s v="Transitional security pattern in the south china sea and the involvement of external parties"/>
    <x v="2"/>
    <s v="Issues and Studies"/>
    <n v="49"/>
    <n v="2"/>
    <m/>
    <n v="103"/>
    <n v="145"/>
    <n v="42"/>
    <n v="4"/>
    <m/>
    <s v="https://www.scopus.com/inward/record.uri?eid=2-s2.0-84884851211&amp;partnerID=40&amp;md5=c85e0965e4e9d3fa48cd7d7b9e27a2b2"/>
    <s v="Article"/>
    <s v="Final"/>
    <m/>
    <s v="Scopus"/>
    <s v="2-s2.0-84884851211"/>
  </r>
  <r>
    <s v="Storey I."/>
    <s v="Storey, Ian (24436720800)"/>
    <n v="24436720800"/>
    <s v="Japan's maritime security interests in Southeast Asia and the South China Sea dispute"/>
    <x v="2"/>
    <s v="Political Science"/>
    <n v="65"/>
    <n v="2"/>
    <m/>
    <n v="135"/>
    <n v="156"/>
    <n v="21"/>
    <n v="30"/>
    <s v="10.1177/0032318713508482"/>
    <s v="https://www.scopus.com/inward/record.uri?eid=2-s2.0-84890513323&amp;doi=10.1177%2f0032318713508482&amp;partnerID=40&amp;md5=c715d2fe8269ded1625debb06c9b0650"/>
    <s v="Article"/>
    <s v="Final"/>
    <m/>
    <s v="Scopus"/>
    <s v="2-s2.0-84890513323"/>
  </r>
  <r>
    <s v="Hossain K."/>
    <s v="Hossain, Kamrul (36662294500)"/>
    <n v="36662294500"/>
    <s v="The UNCLOS and the US-China hegemonic competition over the South China sea"/>
    <x v="2"/>
    <s v="Journal of East Asia and International Law"/>
    <n v="6"/>
    <n v="1"/>
    <m/>
    <n v="107"/>
    <n v="133"/>
    <n v="26"/>
    <n v="8"/>
    <s v="10.14330/jeail.2013.6.1.05"/>
    <s v="https://www.scopus.com/inward/record.uri?eid=2-s2.0-84879581343&amp;doi=10.14330%2fjeail.2013.6.1.05&amp;partnerID=40&amp;md5=51ac9bd0732ef8cf1a4437ed49a12e69"/>
    <s v="Article"/>
    <s v="Final"/>
    <s v="All Open Access; Green Open Access; Hybrid Gold Open Access"/>
    <s v="Scopus"/>
    <s v="2-s2.0-84879581343"/>
  </r>
  <r>
    <s v="De Castro R.C."/>
    <s v="De Castro, Renato Cruz (6603388364)"/>
    <n v="6603388364"/>
    <s v="China and Japan in maritime Southeast Asia: Extending their geo-strategic rivalry by competing for friends"/>
    <x v="2"/>
    <s v="Philippine Political Science Journal"/>
    <n v="34"/>
    <n v="2"/>
    <m/>
    <n v="150"/>
    <n v="169"/>
    <n v="19"/>
    <n v="16"/>
    <s v="10.1080/01154451.2013.851491"/>
    <s v="https://www.scopus.com/inward/record.uri?eid=2-s2.0-84890042962&amp;doi=10.1080%2f01154451.2013.851491&amp;partnerID=40&amp;md5=070b58f6025249ed1a37b52405323e9b"/>
    <s v="Article"/>
    <s v="Final"/>
    <m/>
    <s v="Scopus"/>
    <s v="2-s2.0-84890042962"/>
  </r>
  <r>
    <s v="Chen I.T.-Y.; Yang A.H."/>
    <s v="Chen, Ian Tsung-Yen (55604680000); Yang, Alan Hao (55172631500)"/>
    <s v="55604680000; 55172631500"/>
    <s v="A harmonized Southeast Asia? Explanatory typologies of ASEAN countries' strategies to the rise of China"/>
    <x v="2"/>
    <s v="Pacific Review"/>
    <n v="26"/>
    <n v="3"/>
    <m/>
    <n v="265"/>
    <n v="288"/>
    <n v="23"/>
    <n v="44"/>
    <s v="10.1080/09512748.2012.759260"/>
    <s v="https://www.scopus.com/inward/record.uri?eid=2-s2.0-84879151760&amp;doi=10.1080%2f09512748.2012.759260&amp;partnerID=40&amp;md5=3b9070b3c321adfe16b4fe7c0b2310fe"/>
    <s v="Article"/>
    <s v="Final"/>
    <m/>
    <s v="Scopus"/>
    <s v="2-s2.0-84879151760"/>
  </r>
  <r>
    <s v="Yu H."/>
    <s v="Yu, Hong (37098447900)"/>
    <n v="37098447900"/>
    <s v="China's eagerness to export its high-speed rail expertise to ASEAN members"/>
    <x v="3"/>
    <s v="Copenhagen Journal of Asian Studies"/>
    <n v="32"/>
    <n v="2"/>
    <m/>
    <n v="13"/>
    <n v="36"/>
    <n v="23"/>
    <n v="16"/>
    <m/>
    <s v="https://www.scopus.com/inward/record.uri?eid=2-s2.0-84925018190&amp;partnerID=40&amp;md5=069a8fd2842129cea27d5ae4e8edab51"/>
    <s v="Article"/>
    <s v="Final"/>
    <m/>
    <s v="Scopus"/>
    <s v="2-s2.0-84925018190"/>
  </r>
  <r>
    <s v="Weissmann M."/>
    <s v="Weissmann, Mikael (36722991600)"/>
    <n v="36722991600"/>
    <s v="The South China Sea: Still no war on the horizon"/>
    <x v="4"/>
    <s v="Asian Survey"/>
    <n v="55"/>
    <n v="3"/>
    <m/>
    <n v="596"/>
    <n v="617"/>
    <n v="21"/>
    <n v="2"/>
    <s v="10.1525/AS.2015.55.3.596"/>
    <s v="https://www.scopus.com/inward/record.uri?eid=2-s2.0-84938833524&amp;doi=10.1525%2fAS.2015.55.3.596&amp;partnerID=40&amp;md5=3477a297ef173b4ed28e854e94b0290f"/>
    <s v="Article"/>
    <s v="Final"/>
    <s v="All Open Access; Green Open Access"/>
    <s v="Scopus"/>
    <s v="2-s2.0-84938833524"/>
  </r>
  <r>
    <s v="Chan G."/>
    <s v="Chan, Gerald (7202354481)"/>
    <n v="7202354481"/>
    <s v="China Eyes ASEAN: Evolving Multilateralism"/>
    <x v="4"/>
    <s v="Journal of Asian Security and International Affairs"/>
    <n v="2"/>
    <n v="1"/>
    <m/>
    <n v="75"/>
    <n v="91"/>
    <n v="16"/>
    <n v="5"/>
    <s v="10.1177/2347797014565295"/>
    <s v="https://www.scopus.com/inward/record.uri?eid=2-s2.0-85050330628&amp;doi=10.1177%2f2347797014565295&amp;partnerID=40&amp;md5=166edbe0c12581445769600b903f93ba"/>
    <s v="Article"/>
    <s v="Final"/>
    <m/>
    <s v="Scopus"/>
    <s v="2-s2.0-85050330628"/>
  </r>
  <r>
    <s v="Lin C.-P."/>
    <s v="Lin, Chong-Pin (56768315300)"/>
    <n v="56768315300"/>
    <s v="Behind rising east Asian maritime tensions with China: Struggle without breaking"/>
    <x v="4"/>
    <s v="Asian Survey"/>
    <n v="55"/>
    <n v="3"/>
    <m/>
    <n v="478"/>
    <n v="501"/>
    <n v="23"/>
    <n v="10"/>
    <s v="10.1525/AS.2015.55.3.478"/>
    <s v="https://www.scopus.com/inward/record.uri?eid=2-s2.0-84938830836&amp;doi=10.1525%2fAS.2015.55.3.478&amp;partnerID=40&amp;md5=5e1f2564922723248120596eb69558d1"/>
    <s v="Article"/>
    <s v="Final"/>
    <m/>
    <s v="Scopus"/>
    <s v="2-s2.0-84938830836"/>
  </r>
  <r>
    <s v="He K."/>
    <s v="He, Kai (55241621000)"/>
    <n v="55241621000"/>
    <s v="Contested regional orders and institutional balancing in the Asia Pacific"/>
    <x v="4"/>
    <s v="International Politics"/>
    <n v="52"/>
    <n v="2"/>
    <m/>
    <n v="208"/>
    <n v="222"/>
    <n v="14"/>
    <n v="43"/>
    <s v="10.1057/ip.2014.46"/>
    <s v="https://www.scopus.com/inward/record.uri?eid=2-s2.0-84923070115&amp;doi=10.1057%2fip.2014.46&amp;partnerID=40&amp;md5=2807b87cadd078c20519e7a4ca574262"/>
    <s v="Article"/>
    <s v="Final"/>
    <m/>
    <s v="Scopus"/>
    <s v="2-s2.0-84923070115"/>
  </r>
  <r>
    <s v="Akhmetova B.; Karabulatova I.; Dudin P.; Dorzhiev Z."/>
    <s v="Akhmetova, Bigaysha (56027478200); Karabulatova, Irina (55963615600); Dudin, Pavel (56613187900); Dorzhiev, Zhan (57192371124)"/>
    <s v="56027478200; 55963615600; 56613187900; 57192371124"/>
    <s v="Tension around the problem of the South China Sea as a factor of geopolitical confrontation and transformation of the present world order"/>
    <x v="5"/>
    <s v="Central Asia and the Caucasus"/>
    <n v="17"/>
    <n v="4"/>
    <m/>
    <n v="49"/>
    <n v="57"/>
    <n v="8"/>
    <n v="7"/>
    <m/>
    <s v="https://www.scopus.com/inward/record.uri?eid=2-s2.0-85005943774&amp;partnerID=40&amp;md5=5a36fe463c37c7ef086d68e4383c2bb9"/>
    <s v="Article"/>
    <s v="Final"/>
    <m/>
    <s v="Scopus"/>
    <s v="2-s2.0-85005943774"/>
  </r>
  <r>
    <s v="Beeson M."/>
    <s v="Beeson, Mark (7006329617)"/>
    <n v="7006329617"/>
    <s v="Can ASEAN cope with China?"/>
    <x v="5"/>
    <s v="Journal of Current Southeast Asian Affairs"/>
    <n v="35"/>
    <n v="1"/>
    <m/>
    <n v="5"/>
    <n v="28"/>
    <n v="23"/>
    <n v="41"/>
    <s v="10.1177/186810341603500101"/>
    <s v="https://www.scopus.com/inward/record.uri?eid=2-s2.0-84964872917&amp;doi=10.1177%2f186810341603500101&amp;partnerID=40&amp;md5=8f6bfbf81b4a92f0bf54b22570fb7c88"/>
    <s v="Article"/>
    <s v="Final"/>
    <s v="All Open Access; Gold Open Access"/>
    <s v="Scopus"/>
    <s v="2-s2.0-84964872917"/>
  </r>
  <r>
    <s v="Tuan H.A.; Thuy D.T."/>
    <s v="Tuan, Hoang Anh (57078123500); Thuy, Do Thi (58828835200)"/>
    <s v="57078123500; 58828835200"/>
    <s v="U.S.-Vietnam Security Cooperation: Catalysts and Constraints"/>
    <x v="5"/>
    <s v="Asian Politics and Policy"/>
    <n v="8"/>
    <n v="1"/>
    <m/>
    <n v="179"/>
    <n v="192"/>
    <n v="13"/>
    <n v="10"/>
    <s v="10.1111/aspp.12229"/>
    <s v="https://www.scopus.com/inward/record.uri?eid=2-s2.0-84955618436&amp;doi=10.1111%2faspp.12229&amp;partnerID=40&amp;md5=4432b0c82f98dd7ea1d0ee55e72e9a57"/>
    <s v="Article"/>
    <s v="Final"/>
    <m/>
    <s v="Scopus"/>
    <s v="2-s2.0-84955618436"/>
  </r>
  <r>
    <s v="Chung C.P.C."/>
    <s v="Chung, Chris P. C (23501212400)"/>
    <n v="23501212400"/>
    <s v="Drawing the U-Shaped Line: China’s Claim in the South China Sea, 1946–1974"/>
    <x v="5"/>
    <s v="Modern China"/>
    <n v="42"/>
    <n v="1"/>
    <m/>
    <n v="38"/>
    <n v="72"/>
    <n v="34"/>
    <n v="24"/>
    <s v="10.1177/0097700415598538"/>
    <s v="https://www.scopus.com/inward/record.uri?eid=2-s2.0-84950335488&amp;doi=10.1177%2f0097700415598538&amp;partnerID=40&amp;md5=3ba116061ed3cbe0187d6b106ea26a36"/>
    <s v="Article"/>
    <s v="Final"/>
    <m/>
    <s v="Scopus"/>
    <s v="2-s2.0-84950335488"/>
  </r>
  <r>
    <s v="Hameiri S.; Jones L."/>
    <s v="Hameiri, Shahar (16642616100); Jones, Lee (55464908600)"/>
    <s v="16642616100; 55464908600"/>
    <s v="Rising powers and state transformation: The case of China"/>
    <x v="5"/>
    <s v="European Journal of International Relations"/>
    <n v="22"/>
    <n v="1"/>
    <m/>
    <n v="72"/>
    <n v="98"/>
    <n v="26"/>
    <n v="99"/>
    <s v="10.1177/1354066115578952"/>
    <s v="https://www.scopus.com/inward/record.uri?eid=2-s2.0-84961344200&amp;doi=10.1177%2f1354066115578952&amp;partnerID=40&amp;md5=2ccf1f664fab107b010bd9d6e840eb2f"/>
    <s v="Article"/>
    <s v="Final"/>
    <s v="All Open Access; Green Open Access"/>
    <s v="Scopus"/>
    <s v="2-s2.0-84961344200"/>
  </r>
  <r>
    <s v="Lau C.Y.; Ang W.L."/>
    <s v="Lau, Cheng Yong (56783553000); Ang, Wen Loong (57191036587)"/>
    <s v="56783553000; 57191036587"/>
    <s v="The game theory: Malaysia’s position in south China sea towards China’s string of pearls strategy"/>
    <x v="5"/>
    <s v="Advanced Science Letters"/>
    <n v="22"/>
    <d v="2024-06-05T00:00:00"/>
    <m/>
    <n v="1618"/>
    <n v="1621"/>
    <n v="3"/>
    <n v="0"/>
    <s v="10.1166/asl.2016.6705"/>
    <s v="https://www.scopus.com/inward/record.uri?eid=2-s2.0-84985916840&amp;doi=10.1166%2fasl.2016.6705&amp;partnerID=40&amp;md5=2facaf8b3c59f628cdd51990757b24de"/>
    <s v="Article"/>
    <s v="Final"/>
    <m/>
    <s v="Scopus"/>
    <s v="2-s2.0-84985916840"/>
  </r>
  <r>
    <s v="De Castro R.C."/>
    <s v="De Castro, Renato Cruz (6603388364)"/>
    <n v="6603388364"/>
    <s v="The challenge of conflict resolution in the South China sea dispute: Examining the prospect of a stable peace in East Asia"/>
    <x v="5"/>
    <s v="International Journal of China Studies"/>
    <n v="7"/>
    <n v="1"/>
    <m/>
    <n v="23"/>
    <n v="51"/>
    <n v="28"/>
    <n v="4"/>
    <m/>
    <s v="https://www.scopus.com/inward/record.uri?eid=2-s2.0-84986571426&amp;partnerID=40&amp;md5=c6194dcb10194b4f4a2d0ebf10ed29bd"/>
    <s v="Article"/>
    <s v="Final"/>
    <m/>
    <s v="Scopus"/>
    <s v="2-s2.0-84986571426"/>
  </r>
  <r>
    <s v="Ahmad M.Z.; Mohd Sani M.A."/>
    <s v="Ahmad, Mohammad Zaki (57190617093); Mohd Sani, Mohd Azizuddin (35889266000)"/>
    <s v="57190617093; 35889266000"/>
    <s v="China's Assertive Posture in Reinforcing its Territorial and Sovereignty Claims in the South China Sea: An Insight into Malaysia's Stance"/>
    <x v="6"/>
    <s v="Japanese Journal of Political Science"/>
    <n v="18"/>
    <n v="1"/>
    <m/>
    <n v="67"/>
    <n v="105"/>
    <n v="38"/>
    <n v="6"/>
    <s v="10.1017/S1468109916000323"/>
    <s v="https://www.scopus.com/inward/record.uri?eid=2-s2.0-85013158122&amp;doi=10.1017%2fS1468109916000323&amp;partnerID=40&amp;md5=347f24a16d5df4ab43c8b892d49a561d"/>
    <s v="Article"/>
    <s v="Final"/>
    <m/>
    <s v="Scopus"/>
    <s v="2-s2.0-85013158122"/>
  </r>
  <r>
    <s v="Lai Y.M."/>
    <s v="Lai, Yew Meng (57193954252)"/>
    <n v="57193954252"/>
    <s v="“Sea of Cooperation” or “Sea of Conflict”?: The South China Sea in the Context of China-ASEAN Maritime Cooperation"/>
    <x v="6"/>
    <s v="International Journal of China Studies"/>
    <n v="8"/>
    <n v="3"/>
    <m/>
    <n v="321"/>
    <n v="345"/>
    <n v="24"/>
    <n v="4"/>
    <m/>
    <s v="https://www.scopus.com/inward/record.uri?eid=2-s2.0-85099346402&amp;partnerID=40&amp;md5=8de3f44507500e758182a849ddcdb53e"/>
    <s v="Article"/>
    <s v="Final"/>
    <m/>
    <s v="Scopus"/>
    <s v="2-s2.0-85099346402"/>
  </r>
  <r>
    <s v="Tan S.S."/>
    <s v="Tan, See Seng (8621482100)"/>
    <n v="8621482100"/>
    <s v="RETHINKING &quot;ASEAN CENTRALITY&quot; IN THE REGIONAL GOVERNANCE OF EAST Asia"/>
    <x v="6"/>
    <s v="Singapore Economic Review"/>
    <n v="62"/>
    <n v="3"/>
    <m/>
    <n v="721"/>
    <n v="740"/>
    <n v="19"/>
    <n v="29"/>
    <s v="10.1142/S0217590818400076"/>
    <s v="https://www.scopus.com/inward/record.uri?eid=2-s2.0-84981164836&amp;doi=10.1142%2fS0217590818400076&amp;partnerID=40&amp;md5=0fa1f7847b23e970eaa8b41b0560b6fe"/>
    <s v="Article"/>
    <s v="Final"/>
    <m/>
    <s v="Scopus"/>
    <s v="2-s2.0-84981164836"/>
  </r>
  <r>
    <s v="Lee K.S.; Lee K.Y."/>
    <s v="Lee, Kyung Suk (57195939061); Lee, Kyu Young (57195939054)"/>
    <s v="57195939061; 57195939054"/>
    <s v="U.S. freedom of navigation operations in South China Sea: An ongoing riddle between the United States and China"/>
    <x v="6"/>
    <s v="Korean Journal of Defense Analysis"/>
    <n v="29"/>
    <n v="3"/>
    <m/>
    <n v="455"/>
    <n v="473"/>
    <n v="18"/>
    <n v="2"/>
    <m/>
    <s v="https://www.scopus.com/inward/record.uri?eid=2-s2.0-85030228088&amp;partnerID=40&amp;md5=eccb8658b63faff72144296a2b4bfa1b"/>
    <s v="Article"/>
    <s v="Final"/>
    <m/>
    <s v="Scopus"/>
    <s v="2-s2.0-85030228088"/>
  </r>
  <r>
    <s v="Hayton B."/>
    <s v="Hayton, Bill (56224826100)"/>
    <n v="56224826100"/>
    <s v="When good lawyers write bad history: Unreliable evidence and the south China sea territorial dispute"/>
    <x v="6"/>
    <s v="Ocean Development and International Law"/>
    <n v="48"/>
    <n v="1"/>
    <m/>
    <n v="17"/>
    <n v="34"/>
    <n v="17"/>
    <n v="16"/>
    <s v="10.1080/00908320.2017.1265362"/>
    <s v="https://www.scopus.com/inward/record.uri?eid=2-s2.0-85011585807&amp;doi=10.1080%2f00908320.2017.1265362&amp;partnerID=40&amp;md5=49634f6bbb90bc05cde2df1698eed8ce"/>
    <s v="Article"/>
    <s v="Final"/>
    <m/>
    <s v="Scopus"/>
    <s v="2-s2.0-85011585807"/>
  </r>
  <r>
    <s v="Rosyidin M."/>
    <s v="Rosyidin, Mohamad (57194088538)"/>
    <n v="57194088538"/>
    <s v="Why collective identity matters: Constructivism and the absence of ASEAN’s role in the rohingya crisis"/>
    <x v="6"/>
    <s v="Asia-Pacific Social Science Review"/>
    <n v="17"/>
    <n v="1"/>
    <m/>
    <n v="52"/>
    <n v="65"/>
    <n v="13"/>
    <n v="1"/>
    <m/>
    <s v="https://www.scopus.com/inward/record.uri?eid=2-s2.0-85021276221&amp;partnerID=40&amp;md5=51efdcd3580fc2027dc981b844fb415e"/>
    <s v="Article"/>
    <s v="Final"/>
    <m/>
    <s v="Scopus"/>
    <s v="2-s2.0-85021276221"/>
  </r>
  <r>
    <s v="Hai D.T."/>
    <s v="Hai, Do Thanh (57194554238)"/>
    <n v="57194554238"/>
    <s v="Vietnam: riding the Chinese tide"/>
    <x v="7"/>
    <s v="Pacific Review"/>
    <n v="31"/>
    <n v="2"/>
    <m/>
    <n v="205"/>
    <n v="220"/>
    <n v="15"/>
    <n v="9"/>
    <s v="10.1080/09512748.2017.1377282"/>
    <s v="https://www.scopus.com/inward/record.uri?eid=2-s2.0-85029483208&amp;doi=10.1080%2f09512748.2017.1377282&amp;partnerID=40&amp;md5=2f9a90fbec83e711e25afd4d277bbf6b"/>
    <s v="Article"/>
    <s v="Final"/>
    <m/>
    <s v="Scopus"/>
    <s v="2-s2.0-85029483208"/>
  </r>
  <r>
    <s v="Chen S."/>
    <s v="Chen, Shaofeng (56100186700)"/>
    <n v="56100186700"/>
    <s v="Regional responses to China’s maritime silk road initiative in southeast Asia"/>
    <x v="7"/>
    <s v="Journal of Contemporary China"/>
    <n v="27"/>
    <n v="111"/>
    <m/>
    <n v="344"/>
    <n v="361"/>
    <n v="17"/>
    <n v="24"/>
    <s v="10.1080/10670564.2018.1410960"/>
    <s v="https://www.scopus.com/inward/record.uri?eid=2-s2.0-85038392728&amp;doi=10.1080%2f10670564.2018.1410960&amp;partnerID=40&amp;md5=19e148dd609411c7cc50fa8d3ccd60e8"/>
    <s v="Article"/>
    <s v="Final"/>
    <m/>
    <s v="Scopus"/>
    <s v="2-s2.0-85038392728"/>
  </r>
  <r>
    <s v="Regilme S.S.F., Jr"/>
    <s v="Regilme, Salvador Santino F. (55613176800)"/>
    <n v="55613176800"/>
    <s v="Beyond Paradigms: Understanding the South China Sea Dispute Using Analytic Eclecticism"/>
    <x v="7"/>
    <s v="International Studies"/>
    <n v="55"/>
    <n v="3"/>
    <m/>
    <n v="213"/>
    <n v="237"/>
    <n v="24"/>
    <n v="19"/>
    <s v="10.1177/0020881718794527"/>
    <s v="https://www.scopus.com/inward/record.uri?eid=2-s2.0-85075364332&amp;doi=10.1177%2f0020881718794527&amp;partnerID=40&amp;md5=00d026e3ede579688ebccb12916a8be3"/>
    <s v="Article"/>
    <s v="Final"/>
    <s v="All Open Access; Green Open Access; Hybrid Gold Open Access"/>
    <s v="Scopus"/>
    <s v="2-s2.0-85075364332"/>
  </r>
  <r>
    <s v="Zhang H."/>
    <s v="Zhang, Hongzhou (55934195900)"/>
    <n v="55934195900"/>
    <s v="Fisheries cooperation in the South China Sea: Evaluating the options"/>
    <x v="7"/>
    <s v="Marine Policy"/>
    <n v="89"/>
    <m/>
    <m/>
    <n v="67"/>
    <n v="76"/>
    <n v="9"/>
    <n v="48"/>
    <s v="10.1016/j.marpol.2017.12.014"/>
    <s v="https://www.scopus.com/inward/record.uri?eid=2-s2.0-85040706254&amp;doi=10.1016%2fj.marpol.2017.12.014&amp;partnerID=40&amp;md5=d77a95e6dfeaa429e1708e119dd36ec0"/>
    <s v="Article"/>
    <s v="Final"/>
    <s v="All Open Access; Green Open Access"/>
    <s v="Scopus"/>
    <s v="2-s2.0-85040706254"/>
  </r>
  <r>
    <s v="Ullah A.K.M.A.; Kumpoh A.A.-Z.A."/>
    <s v="Ullah, A. K. M. Ahsan (10043791400); Kumpoh, Asiyah Az-Zahra Ahmad (57211987870)"/>
    <s v="10043791400; 57211987870"/>
    <s v="Are Borders the Reflection of International Relations? Southeast Asian Borders in Perspective"/>
    <x v="7"/>
    <s v="Journal of Asian Security and International Affairs"/>
    <n v="5"/>
    <n v="3"/>
    <m/>
    <n v="295"/>
    <n v="318"/>
    <n v="23"/>
    <n v="12"/>
    <s v="10.1177/2347797018798253"/>
    <s v="https://www.scopus.com/inward/record.uri?eid=2-s2.0-85063585068&amp;doi=10.1177%2f2347797018798253&amp;partnerID=40&amp;md5=3abad10ec70b1c4e67763f1b484bc273"/>
    <s v="Article"/>
    <s v="Final"/>
    <m/>
    <s v="Scopus"/>
    <s v="2-s2.0-85063585068"/>
  </r>
  <r>
    <s v="Hong N."/>
    <s v="Hong, Nong (24481240500)"/>
    <n v="24481240500"/>
    <s v="The South China Sea Arbitration: A Test for the Efficacy of Compulsory Mechanism of UNCLOS and Implications for Dispute Management in the Region"/>
    <x v="7"/>
    <s v="Asian Politics and Policy"/>
    <n v="10"/>
    <n v="2"/>
    <m/>
    <n v="219"/>
    <n v="246"/>
    <n v="27"/>
    <n v="4"/>
    <s v="10.1111/aspp.12395"/>
    <s v="https://www.scopus.com/inward/record.uri?eid=2-s2.0-85045890832&amp;doi=10.1111%2faspp.12395&amp;partnerID=40&amp;md5=92632e45f3f283c001172dfd879c5b1c"/>
    <s v="Article"/>
    <s v="Final"/>
    <m/>
    <s v="Scopus"/>
    <s v="2-s2.0-85045890832"/>
  </r>
  <r>
    <s v="Beeson M."/>
    <s v="Beeson, Mark (7006329617)"/>
    <n v="7006329617"/>
    <s v="Asian regionalism: Not so new, not so effective"/>
    <x v="8"/>
    <s v="Pacific Affairs"/>
    <n v="92"/>
    <n v="3"/>
    <m/>
    <n v="515"/>
    <n v="523"/>
    <n v="8"/>
    <n v="2"/>
    <s v="10.5509/2019923515"/>
    <s v="https://www.scopus.com/inward/record.uri?eid=2-s2.0-85073358760&amp;doi=10.5509%2f2019923515&amp;partnerID=40&amp;md5=bc33797186b8e7d00510eb0b7a0e76ef"/>
    <s v="Article"/>
    <s v="Final"/>
    <m/>
    <s v="Scopus"/>
    <s v="2-s2.0-85073358760"/>
  </r>
  <r>
    <s v="Farzana K.F.; Zahurul Haq Md."/>
    <s v="Farzana, Kazi Fahmida (56906856700); Zahurul Haq, Md. (57224966515)"/>
    <s v="56906856700; 57224966515"/>
    <s v="Malaysia's political orientation in diplomatic neutrality"/>
    <x v="8"/>
    <s v="Intellectual Discourse"/>
    <n v="27"/>
    <m/>
    <m/>
    <n v="783"/>
    <n v="798"/>
    <n v="15"/>
    <n v="2"/>
    <m/>
    <s v="https://www.scopus.com/inward/record.uri?eid=2-s2.0-85079291087&amp;partnerID=40&amp;md5=a635cd40d69dcb0f23a748a70176e350"/>
    <s v="Article"/>
    <s v="Final"/>
    <m/>
    <s v="Scopus"/>
    <s v="2-s2.0-85079291087"/>
  </r>
  <r>
    <s v="Cottey A."/>
    <s v="Cottey, Andrew (6603105847)"/>
    <n v="6603105847"/>
    <s v="Europe and China’s sea disputes: between normative politics, power balancing and acquiescence"/>
    <x v="8"/>
    <s v="European Security"/>
    <n v="28"/>
    <n v="4"/>
    <m/>
    <n v="473"/>
    <n v="492"/>
    <n v="19"/>
    <n v="13"/>
    <s v="10.1080/09662839.2019.1636784"/>
    <s v="https://www.scopus.com/inward/record.uri?eid=2-s2.0-85111136816&amp;doi=10.1080%2f09662839.2019.1636784&amp;partnerID=40&amp;md5=5c097198069fb144d14f8d32914ff861"/>
    <s v="Article"/>
    <s v="Final"/>
    <m/>
    <s v="Scopus"/>
    <s v="2-s2.0-85111136816"/>
  </r>
  <r>
    <s v="Sulaiman Y."/>
    <s v="Sulaiman, Yohanes (57211913606)"/>
    <n v="57211913606"/>
    <s v="What Threat? Leadership, Strategic Culture, and Indonesian Foreign Policy in the South China Sea"/>
    <x v="8"/>
    <s v="Asian Politics and Policy"/>
    <n v="11"/>
    <n v="4"/>
    <m/>
    <n v="606"/>
    <n v="622"/>
    <n v="16"/>
    <n v="12"/>
    <s v="10.1111/aspp.12496"/>
    <s v="https://www.scopus.com/inward/record.uri?eid=2-s2.0-85075361911&amp;doi=10.1111%2faspp.12496&amp;partnerID=40&amp;md5=13639fda95e88bdbb0dcd05ea00762cc"/>
    <s v="Article"/>
    <s v="Final"/>
    <m/>
    <s v="Scopus"/>
    <s v="2-s2.0-85075361911"/>
  </r>
  <r>
    <s v="Mendoza R.U.; Siriban C.; Ty T.J."/>
    <s v="Mendoza, Ronald Umali (7005378283); Siriban, Charles (56677702700); Ty, Tea Jalin (57205609930)"/>
    <s v="7005378283; 56677702700; 57205609930"/>
    <s v="SURVEY OF ECONOMIC IMPLICATIONS OF MARITIME AND TERRITORIAL DISPUTES"/>
    <x v="8"/>
    <s v="Journal of Economic Surveys"/>
    <n v="33"/>
    <n v="3"/>
    <m/>
    <n v="1028"/>
    <n v="1049"/>
    <n v="21"/>
    <n v="4"/>
    <s v="10.1111/joes.12311"/>
    <s v="https://www.scopus.com/inward/record.uri?eid=2-s2.0-85060794063&amp;doi=10.1111%2fjoes.12311&amp;partnerID=40&amp;md5=92908209c613ce9154e62ab83a964b2e"/>
    <s v="Article"/>
    <s v="Final"/>
    <m/>
    <s v="Scopus"/>
    <s v="2-s2.0-85060794063"/>
  </r>
  <r>
    <s v="Beeson M."/>
    <s v="Beeson, Mark (7006329617)"/>
    <n v="7006329617"/>
    <s v="Asia's competing multilateral initiatives: quality versus quantity"/>
    <x v="8"/>
    <s v="Pacific Review"/>
    <n v="32"/>
    <n v="2"/>
    <m/>
    <n v="245"/>
    <n v="255"/>
    <n v="10"/>
    <n v="22"/>
    <s v="10.1080/09512748.2018.1470556"/>
    <s v="https://www.scopus.com/inward/record.uri?eid=2-s2.0-85047001510&amp;doi=10.1080%2f09512748.2018.1470556&amp;partnerID=40&amp;md5=693c23be4635c88354aae330a1a6c523"/>
    <s v="Article"/>
    <s v="Final"/>
    <m/>
    <s v="Scopus"/>
    <s v="2-s2.0-85047001510"/>
  </r>
  <r>
    <s v="Yilmaz S.; Liu F.-K."/>
    <s v="Yilmaz, Serafettin (56608688400); Liu, Fu-Kuo (56883314700)"/>
    <s v="56608688400; 56883314700"/>
    <s v="The Evolving Geopolitical Landscape in the Post-Arbitration South China Sea"/>
    <x v="8"/>
    <s v="Pacific Focus"/>
    <n v="34"/>
    <n v="3"/>
    <m/>
    <n v="317"/>
    <n v="344"/>
    <n v="27"/>
    <n v="5"/>
    <s v="10.1111/pafo.12151"/>
    <s v="https://www.scopus.com/inward/record.uri?eid=2-s2.0-85076740688&amp;doi=10.1111%2fpafo.12151&amp;partnerID=40&amp;md5=8b9e08378e02e7a75f637c289723eeaa"/>
    <s v="Article"/>
    <s v="Final"/>
    <m/>
    <s v="Scopus"/>
    <s v="2-s2.0-85076740688"/>
  </r>
  <r>
    <s v="Hoang P."/>
    <s v="Hoang, Phuong (59278425200)"/>
    <n v="59278425200"/>
    <s v="Domestic Protests and Foreign Policy: An Examination of Anti-China Protests in Vietnam and Vietnamese Policy Towards China Regarding the South China Sea"/>
    <x v="8"/>
    <s v="Journal of Asian Security and International Affairs"/>
    <n v="6"/>
    <n v="1"/>
    <m/>
    <n v="1"/>
    <n v="29"/>
    <n v="28"/>
    <n v="10"/>
    <s v="10.1177/2347797019826747"/>
    <s v="https://www.scopus.com/inward/record.uri?eid=2-s2.0-85075617096&amp;doi=10.1177%2f2347797019826747&amp;partnerID=40&amp;md5=598efc003e3df4bc8536489a94da86de"/>
    <s v="Article"/>
    <s v="Final"/>
    <s v="All Open Access; Bronze Open Access"/>
    <s v="Scopus"/>
    <s v="2-s2.0-85075617096"/>
  </r>
  <r>
    <s v="Strating R."/>
    <s v="Strating, Rebecca (55918320500)"/>
    <n v="55918320500"/>
    <s v="Small Power Hedging in an Era of Great-power Politics: Southeast Asian Responses to China’s Pursuit of Energy Security"/>
    <x v="9"/>
    <s v="Asian Studies Review"/>
    <n v="44"/>
    <n v="1"/>
    <m/>
    <n v="97"/>
    <n v="116"/>
    <n v="19"/>
    <n v="6"/>
    <s v="10.1080/10357823.2019.1681935"/>
    <s v="https://www.scopus.com/inward/record.uri?eid=2-s2.0-85074811053&amp;doi=10.1080%2f10357823.2019.1681935&amp;partnerID=40&amp;md5=322f382a761ea92634855db404d09ae3"/>
    <s v="Article"/>
    <s v="Final"/>
    <m/>
    <s v="Scopus"/>
    <s v="2-s2.0-85074811053"/>
  </r>
  <r>
    <s v="Pietrasiak M."/>
    <s v="Pietrasiak, Małgorzata (57221233901)"/>
    <n v="57221233901"/>
    <s v="The Asean's attitude to the South China Sea dispute after the verdict of the permanent court of arbitration in the Hague; [ASEAN wobec sporu na Morzu Południowochińskim po orzeczeniu trybunału arbitrażowego w Hadze ]"/>
    <x v="9"/>
    <s v="Przeglad Strategiczny"/>
    <m/>
    <n v="13"/>
    <m/>
    <n v="215"/>
    <n v="227"/>
    <n v="12"/>
    <n v="0"/>
    <s v="10.14746/ps.2020.1.13"/>
    <s v="https://www.scopus.com/inward/record.uri?eid=2-s2.0-85098570432&amp;doi=10.14746%2fps.2020.1.13&amp;partnerID=40&amp;md5=8291d4a8511cc65ac1e79acc947363b6"/>
    <s v="Article"/>
    <s v="Final"/>
    <s v="All Open Access; Gold Open Access"/>
    <s v="Scopus"/>
    <s v="2-s2.0-85098570432"/>
  </r>
  <r>
    <s v="Agusman D.D.; Fatihah C.Y.N."/>
    <s v="Agusman, Damos Dumoli (57764396600); Fatihah, Citra Yuda Nur (57764724900)"/>
    <s v="57764396600; 57764724900"/>
    <s v="CELEBRATING THE 25TH ANNIVERSARY OF UNCLOS LEGAL PERSPECTIVE: THE NATUNA CASE"/>
    <x v="9"/>
    <s v="Indonesian Journal of International Law"/>
    <n v="17"/>
    <n v="4"/>
    <n v="5"/>
    <n v="539"/>
    <n v="564"/>
    <n v="25"/>
    <n v="3"/>
    <s v="10.17304/ijil.vol17.4.799"/>
    <s v="https://www.scopus.com/inward/record.uri?eid=2-s2.0-85132833843&amp;doi=10.17304%2fijil.vol17.4.799&amp;partnerID=40&amp;md5=f91f4862aa54aefd8d0a3995029f985d"/>
    <s v="Article"/>
    <s v="Final"/>
    <s v="All Open Access; Gold Open Access"/>
    <s v="Scopus"/>
    <s v="2-s2.0-85132833843"/>
  </r>
  <r>
    <s v="Zhao C.; Li R.; Gong Y.; Xu X."/>
    <s v="Zhao, Changping (55476836500); Li, Rui (57212092080); Gong, Yu (57191418413); Xu, Xin (57212080538)"/>
    <s v="55476836500; 57212092080; 57191418413; 57212080538"/>
    <s v="Study on the asymmetric QRE network game simulation of the South China Sea route trade cooperation"/>
    <x v="9"/>
    <s v="Marine Policy"/>
    <n v="111"/>
    <m/>
    <n v="103724"/>
    <m/>
    <m/>
    <m/>
    <n v="6"/>
    <s v="10.1016/j.marpol.2019.103724"/>
    <s v="https://www.scopus.com/inward/record.uri?eid=2-s2.0-85075870404&amp;doi=10.1016%2fj.marpol.2019.103724&amp;partnerID=40&amp;md5=aa33809e48d2067addee0c9a43e22929"/>
    <s v="Article"/>
    <s v="Final"/>
    <s v="All Open Access; Green Open Access"/>
    <s v="Scopus"/>
    <s v="2-s2.0-85075870404"/>
  </r>
  <r>
    <s v="Fong Y.L.; Ponnan R.; De Rycker A."/>
    <s v="Fong, Yang Lai (55926468200); Ponnan, Ramachandran (56027984800); De Rycker, Antoon (50261397700)"/>
    <s v="55926468200; 56027984800; 50261397700"/>
    <s v="Different Countries, Different Perspectives: A Comparative Analysis of the South China Sea Disputes Coverage by Malaysian and Chinese Newspapers"/>
    <x v="9"/>
    <s v="China Report"/>
    <n v="56"/>
    <n v="1"/>
    <m/>
    <n v="39"/>
    <n v="59"/>
    <n v="20"/>
    <n v="10"/>
    <s v="10.1177/0009445519895627"/>
    <s v="https://www.scopus.com/inward/record.uri?eid=2-s2.0-85079122381&amp;doi=10.1177%2f0009445519895627&amp;partnerID=40&amp;md5=f672cb5c4dd462316eb447c226b6db92"/>
    <s v="Article"/>
    <s v="Final"/>
    <m/>
    <s v="Scopus"/>
    <s v="2-s2.0-85079122381"/>
  </r>
  <r>
    <s v="Binh L.H."/>
    <s v="Binh, Le Hai (57226887668)"/>
    <n v="57226887668"/>
    <s v="Superpower responsibility, china, the South China sea and the COVID-19 pandemic"/>
    <x v="10"/>
    <s v="International Journal of China Studies"/>
    <n v="12"/>
    <n v="1"/>
    <m/>
    <n v="47"/>
    <n v="64"/>
    <n v="17"/>
    <n v="0"/>
    <m/>
    <s v="https://www.scopus.com/inward/record.uri?eid=2-s2.0-85113231165&amp;partnerID=40&amp;md5=9ee9efa0a3761f3b013fcc959b8112b6"/>
    <s v="Article"/>
    <s v="Final"/>
    <m/>
    <s v="Scopus"/>
    <s v="2-s2.0-85113231165"/>
  </r>
  <r>
    <s v="Camba A.; Magat J."/>
    <s v="Camba, Alvin (56601319500); Magat, Janica (57215932315)"/>
    <s v="56601319500; 57215932315"/>
    <s v="HOW DO INVESTORS RESPOND to TERRITORIAL DISPUTES? EVIDENCE from the SOUTH CHINA SEA and IMPLICATIONS on PHILIPPINES ECONOMIC STRATEGY"/>
    <x v="10"/>
    <s v="Singapore Economic Review"/>
    <n v="66"/>
    <n v="1"/>
    <m/>
    <n v="243"/>
    <n v="267"/>
    <n v="24"/>
    <n v="6"/>
    <s v="10.1142/S0217590819500681"/>
    <s v="https://www.scopus.com/inward/record.uri?eid=2-s2.0-85082416030&amp;doi=10.1142%2fS0217590819500681&amp;partnerID=40&amp;md5=fae6e71051d4991a1d8f5ec0ad198fdb"/>
    <s v="Article"/>
    <s v="Final"/>
    <m/>
    <s v="Scopus"/>
    <s v="2-s2.0-85082416030"/>
  </r>
  <r>
    <s v="Lai Y.M.; Kuik C.-C."/>
    <s v="Lai, Yew Meng (57193954252); Kuik, Cheng-Chwee (55303741000)"/>
    <s v="57193954252; 55303741000"/>
    <s v="Structural sources of Malaysia's South China Sea policy: power uncertainties and small-state hedging"/>
    <x v="10"/>
    <s v="Australian Journal of International Affairs"/>
    <n v="75"/>
    <n v="3"/>
    <m/>
    <n v="277"/>
    <n v="304"/>
    <n v="27"/>
    <n v="18"/>
    <s v="10.1080/10357718.2020.1856329"/>
    <s v="https://www.scopus.com/inward/record.uri?eid=2-s2.0-85097521602&amp;doi=10.1080%2f10357718.2020.1856329&amp;partnerID=40&amp;md5=ea9b16160bce7c02dbb87779f1cd36a8"/>
    <s v="Article"/>
    <s v="Final"/>
    <m/>
    <s v="Scopus"/>
    <s v="2-s2.0-85097521602"/>
  </r>
  <r>
    <s v="Suzuki S."/>
    <s v="Suzuki, Sanae (57211780008)"/>
    <n v="57211780008"/>
    <s v="Can ASEAN offer a useful model? Chairmanship in decision-making by consensus"/>
    <x v="10"/>
    <s v="Pacific Review"/>
    <n v="34"/>
    <n v="5"/>
    <m/>
    <n v="697"/>
    <n v="723"/>
    <n v="26"/>
    <n v="6"/>
    <s v="10.1080/09512748.2020.1727553"/>
    <s v="https://www.scopus.com/inward/record.uri?eid=2-s2.0-85079756904&amp;doi=10.1080%2f09512748.2020.1727553&amp;partnerID=40&amp;md5=ecb423ed882a13ed9b1ea5c15b06e93f"/>
    <s v="Article"/>
    <s v="Final"/>
    <m/>
    <s v="Scopus"/>
    <s v="2-s2.0-85079756904"/>
  </r>
  <r>
    <s v="Khalid K.M.; Azman M.D."/>
    <s v="Khalid, Khadijah Md (40761720500); Azman, M.D. (57205236212)"/>
    <s v="40761720500; 57205236212"/>
    <s v="In the Dragon's Tight Embrace? A Neo-Gramscian Perspective on Malaysia's Foreign Policy towards China"/>
    <x v="10"/>
    <s v="Contemporary Chinese Political Economy and Strategic Relations"/>
    <n v="7"/>
    <n v="3"/>
    <m/>
    <n v="1081"/>
    <n v="1189"/>
    <n v="108"/>
    <n v="3"/>
    <m/>
    <s v="https://www.scopus.com/inward/record.uri?eid=2-s2.0-85130446034&amp;partnerID=40&amp;md5=ab05b558fe3d81ed343ebc715171afca"/>
    <s v="Article"/>
    <s v="Final"/>
    <m/>
    <s v="Scopus"/>
    <s v="2-s2.0-85130446034"/>
  </r>
  <r>
    <s v="Hung N.T.; Cuong N.X."/>
    <s v="Hung, Nghiem Tuan (57421667000); Cuong, Nguyen Xuan (57202940704)"/>
    <s v="57421667000; 57202940704"/>
    <s v="Non-traditional Security Complex in the South China Sea: Vietnam’s Perspectives and Policy Implications"/>
    <x v="10"/>
    <s v="Journal Global Policy and Governance"/>
    <n v="10"/>
    <n v="2"/>
    <m/>
    <n v="51"/>
    <n v="72"/>
    <n v="21"/>
    <n v="4"/>
    <s v="10.14666/2194-7759-10-2-004"/>
    <s v="https://www.scopus.com/inward/record.uri?eid=2-s2.0-85123239154&amp;doi=10.14666%2f2194-7759-10-2-004&amp;partnerID=40&amp;md5=1b861931de0f38554d4585e46b1de354"/>
    <s v="Article"/>
    <s v="Final"/>
    <m/>
    <s v="Scopus"/>
    <s v="2-s2.0-85123239154"/>
  </r>
  <r>
    <s v="Paszak P."/>
    <s v="Paszak, Paweł (57221233372)"/>
    <n v="57221233372"/>
    <s v="The Malacca Strait, the South China Sea and the Sino-American Competition in the Indo-Pacific"/>
    <x v="10"/>
    <s v="Journal of Asian Security and International Affairs"/>
    <n v="8"/>
    <n v="2"/>
    <m/>
    <n v="174"/>
    <n v="194"/>
    <n v="20"/>
    <n v="7"/>
    <s v="10.1177/23477970211017494"/>
    <s v="https://www.scopus.com/inward/record.uri?eid=2-s2.0-85107026416&amp;doi=10.1177%2f23477970211017494&amp;partnerID=40&amp;md5=b83ab2f0a4aabc8d0f93534f0a06290d"/>
    <s v="Article"/>
    <s v="Final"/>
    <m/>
    <s v="Scopus"/>
    <s v="2-s2.0-85107026416"/>
  </r>
  <r>
    <s v="Nguyen A."/>
    <s v="Nguyen, Anh (57449672500)"/>
    <n v="57449672500"/>
    <s v="THE PROTECTION OF FOREIGN INVESTMENTS IN DISPUTED MARITIME AREAS OF THE SOUTH CHINA SEA"/>
    <x v="10"/>
    <s v="Indonesian Journal of International Law"/>
    <n v="19"/>
    <n v="1"/>
    <n v="6"/>
    <m/>
    <m/>
    <m/>
    <n v="0"/>
    <s v="10.17304/ijil.vol19.1.1"/>
    <s v="https://www.scopus.com/inward/record.uri?eid=2-s2.0-85132822530&amp;doi=10.17304%2fijil.vol19.1.1&amp;partnerID=40&amp;md5=5a42ae5b1942668f3221f70b069e1120"/>
    <s v="Article"/>
    <s v="Final"/>
    <s v="All Open Access; Gold Open Access"/>
    <s v="Scopus"/>
    <s v="2-s2.0-85132822530"/>
  </r>
  <r>
    <s v="Tampubolon M."/>
    <s v="Tampubolon, Manotar (57223193391)"/>
    <n v="57223193391"/>
    <s v="ASEAN opportunity as a global human rights actor: prospect and challenges"/>
    <x v="10"/>
    <s v="Review of International Geographical Education Online"/>
    <n v="11"/>
    <n v="5"/>
    <m/>
    <n v="2078"/>
    <n v="2087"/>
    <n v="9"/>
    <n v="0"/>
    <s v="10.48047/rigeo.11.05.114"/>
    <s v="https://www.scopus.com/inward/record.uri?eid=2-s2.0-85116059390&amp;doi=10.48047%2frigeo.11.05.114&amp;partnerID=40&amp;md5=8545de898026f2ce31c8f86a022bb4cf"/>
    <s v="Article"/>
    <s v="Final"/>
    <m/>
    <s v="Scopus"/>
    <s v="2-s2.0-85116059390"/>
  </r>
  <r>
    <s v="Yu Z.; Xiao Y.; Li J."/>
    <s v="Yu, Zhen (57212301139); Xiao, Yao (57220831844); Li, Jinpo (57202723077)"/>
    <s v="57212301139; 57220831844; 57202723077"/>
    <s v="How does geopolitical uncertainty affect Chinese overseas investment in the energy sector? Evidence from the South China Sea Dispute"/>
    <x v="10"/>
    <s v="Energy Economics"/>
    <n v="100"/>
    <m/>
    <n v="105361"/>
    <m/>
    <m/>
    <m/>
    <n v="17"/>
    <s v="10.1016/j.eneco.2021.105361"/>
    <s v="https://www.scopus.com/inward/record.uri?eid=2-s2.0-85107644314&amp;doi=10.1016%2fj.eneco.2021.105361&amp;partnerID=40&amp;md5=8a5b64d9c037f64abcf0163cafa3e677"/>
    <s v="Article"/>
    <s v="Final"/>
    <m/>
    <s v="Scopus"/>
    <s v="2-s2.0-85107644314"/>
  </r>
  <r>
    <s v="Voon J.P.; Chien-Peng C.; Nam C.S."/>
    <s v="Voon, Jan P. (6602768986); Chien-Peng, Chung (57193754383); Nam, Chan Sze (57668321100)"/>
    <s v="6602768986; 57193754383; 57668321100"/>
    <s v="Political-Economic Suboptimization of China's Belt and Road Initiative: The Case of Infrastructure Investments in Southeast Asia"/>
    <x v="10"/>
    <s v="Journal of Southeast Asian Economies"/>
    <n v="38"/>
    <n v="2"/>
    <m/>
    <n v="244"/>
    <n v="262"/>
    <n v="18"/>
    <n v="1"/>
    <s v="10.1355/ae38-2f"/>
    <s v="https://www.scopus.com/inward/record.uri?eid=2-s2.0-85129516336&amp;doi=10.1355%2fae38-2f&amp;partnerID=40&amp;md5=03106ab991627503a27ac29c8f47e2f5"/>
    <s v="Article"/>
    <s v="Final"/>
    <m/>
    <s v="Scopus"/>
    <s v="2-s2.0-85129516336"/>
  </r>
  <r>
    <s v="Putra B.A."/>
    <s v="Putra, Bama Andika (57208339729)"/>
    <n v="57208339729"/>
    <s v="Comprehending Brunei Darussalam’s vanishing claims in the South China Sea: China’s exertion of economic power and the influence of elite perception"/>
    <x v="10"/>
    <s v="Cogent Social Sciences"/>
    <n v="7"/>
    <n v="1"/>
    <n v="1858563"/>
    <m/>
    <m/>
    <m/>
    <n v="13"/>
    <s v="10.1080/23311886.2020.1858563"/>
    <s v="https://www.scopus.com/inward/record.uri?eid=2-s2.0-85097681053&amp;doi=10.1080%2f23311886.2020.1858563&amp;partnerID=40&amp;md5=c5c1c86b0a5295251ed87614a20ea9c5"/>
    <s v="Article"/>
    <s v="Final"/>
    <s v="All Open Access; Gold Open Access"/>
    <s v="Scopus"/>
    <s v="2-s2.0-85097681053"/>
  </r>
  <r>
    <s v="Strating R."/>
    <s v="Strating, Rebecca (55918320500)"/>
    <n v="55918320500"/>
    <s v="Norm contestation, statecraft and the South China Sea: defending maritime order"/>
    <x v="11"/>
    <s v="Pacific Review"/>
    <n v="35"/>
    <n v="1"/>
    <m/>
    <n v="1"/>
    <n v="31"/>
    <n v="30"/>
    <n v="13"/>
    <s v="10.1080/09512748.2020.1804990"/>
    <s v="https://www.scopus.com/inward/record.uri?eid=2-s2.0-85089460859&amp;doi=10.1080%2f09512748.2020.1804990&amp;partnerID=40&amp;md5=77d9fcdbb15c33900cbf0fb49c610531"/>
    <s v="Article"/>
    <s v="Final"/>
    <m/>
    <s v="Scopus"/>
    <s v="2-s2.0-85089460859"/>
  </r>
  <r>
    <s v="Tahalele M.P.; Dhiaulhaq A.; Putra R.A.; Affandi R.A.; Arnakim L.Y.; Mursitama T.N."/>
    <s v="Tahalele, Miranda P. (58009248800); Dhiaulhaq, Ahmad (55841539700); Putra, Rhevy Adriade (58098014400); Affandi, Roseno Aji (57201349815); Arnakim, Lili Yulyadi (57189852716); Mursitama, Tirta Nugraha (15758253200)"/>
    <s v="58009248800; 55841539700; 58098014400; 57201349815; 57189852716; 15758253200"/>
    <s v="The Trajectory and Trend of International Political Economy in Southeast Asia"/>
    <x v="11"/>
    <s v="Journal of ASEAN Studies"/>
    <n v="10"/>
    <n v="2"/>
    <m/>
    <n v="181"/>
    <n v="206"/>
    <n v="25"/>
    <n v="1"/>
    <s v="10.21512/jas.v10i2.9184"/>
    <s v="https://www.scopus.com/inward/record.uri?eid=2-s2.0-85147807113&amp;doi=10.21512%2fjas.v10i2.9184&amp;partnerID=40&amp;md5=5dcde453c51a4261eb3d54482636ebcf"/>
    <s v="Article"/>
    <s v="Final"/>
    <s v="All Open Access; Gold Open Access"/>
    <s v="Scopus"/>
    <s v="2-s2.0-85147807113"/>
  </r>
  <r>
    <s v="Ernst M."/>
    <s v="Ernst, Maximilian (57194528936)"/>
    <n v="57194528936"/>
    <s v="Control Through Cooperation?Assessing China’s Economic and Military-Strategic Interests in the South China Sea"/>
    <x v="11"/>
    <s v="Journal of Territorial and Maritime Studies"/>
    <n v="9"/>
    <n v="2"/>
    <m/>
    <n v="7"/>
    <n v="30"/>
    <n v="23"/>
    <n v="2"/>
    <s v="10.2307/JTMS.9.2.7"/>
    <s v="https://www.scopus.com/inward/record.uri?eid=2-s2.0-85135944511&amp;doi=10.2307%2fJTMS.9.2.7&amp;partnerID=40&amp;md5=1705eb38b1827fc3ac1731eaa97847b3"/>
    <s v="Article"/>
    <s v="Final"/>
    <m/>
    <s v="Scopus"/>
    <s v="2-s2.0-85135944511"/>
  </r>
  <r>
    <s v="Mukherjee B.N."/>
    <s v="Mukherjee, Baidya Nath (57981574500)"/>
    <n v="57981574500"/>
    <s v="CHINA’S UNILATERAL CLAIM IN THE SOUTH CHINA AND EAST CHINA SEA: AN ANALYTICAL STUDY"/>
    <x v="11"/>
    <s v="Journal of Liberty and International Affairs"/>
    <n v="8"/>
    <n v="3"/>
    <m/>
    <n v="399"/>
    <n v="417"/>
    <n v="18"/>
    <n v="1"/>
    <s v="10.47305/JLIA2283399m"/>
    <s v="https://www.scopus.com/inward/record.uri?eid=2-s2.0-85143378028&amp;doi=10.47305%2fJLIA2283399m&amp;partnerID=40&amp;md5=f37e4aa4dbdb6bb5c419c66a1ebaeb8c"/>
    <s v="Article"/>
    <s v="Final"/>
    <s v="All Open Access; Gold Open Access"/>
    <s v="Scopus"/>
    <s v="2-s2.0-85143378028"/>
  </r>
  <r>
    <s v="Limpo L.; Beauty B."/>
    <s v="Limpo, Lita (57980263500); Beauty, Beauty (57980263600)"/>
    <s v="57980263500; 57980263600"/>
    <s v="ASEAN AND CONFLICT MANAGEMENT IN SOUTHEAST ASIA"/>
    <x v="11"/>
    <s v="Cogito"/>
    <n v="14"/>
    <n v="3"/>
    <m/>
    <n v="123"/>
    <n v="140"/>
    <n v="17"/>
    <n v="0"/>
    <m/>
    <s v="https://www.scopus.com/inward/record.uri?eid=2-s2.0-85142528558&amp;partnerID=40&amp;md5=dda6a23b911f3ca20f5464e3a18b8574"/>
    <s v="Article"/>
    <s v="Final"/>
    <m/>
    <s v="Scopus"/>
    <s v="2-s2.0-85142528558"/>
  </r>
  <r>
    <s v="Wu X.; Velasco J.C."/>
    <s v="Wu, Xiangning (57218115771); Velasco, Joseph Ching (57203924828)"/>
    <s v="57218115771; 57203924828"/>
    <s v="Examining the Philippines’ China policy: great powers and domestic politics"/>
    <x v="11"/>
    <s v="Australian Journal of International Affairs"/>
    <n v="76"/>
    <n v="6"/>
    <m/>
    <n v="672"/>
    <n v="693"/>
    <n v="21"/>
    <n v="6"/>
    <s v="10.1080/10357718.2022.2085242"/>
    <s v="https://www.scopus.com/inward/record.uri?eid=2-s2.0-85131671604&amp;doi=10.1080%2f10357718.2022.2085242&amp;partnerID=40&amp;md5=d33b8654ab303b7686e47d4f3378184c"/>
    <s v="Article"/>
    <s v="Final"/>
    <m/>
    <s v="Scopus"/>
    <s v="2-s2.0-85131671604"/>
  </r>
  <r>
    <s v="Kuik C.-C."/>
    <s v="Kuik, Cheng-Chwee (55303741000)"/>
    <n v="55303741000"/>
    <s v="Hedging via Institutions: ASEAN-led Multilateralism in the Age of the Indo-Pacific"/>
    <x v="11"/>
    <s v="Asian Journal of Peacebuilding"/>
    <n v="10"/>
    <n v="2"/>
    <m/>
    <n v="355"/>
    <n v="386"/>
    <n v="31"/>
    <n v="5"/>
    <s v="10.18588/202211.00a319"/>
    <s v="https://www.scopus.com/inward/record.uri?eid=2-s2.0-85145605759&amp;doi=10.18588%2f202211.00a319&amp;partnerID=40&amp;md5=79de96262cce2c58effb69ecf84aaa5a"/>
    <s v="Article"/>
    <s v="Final"/>
    <s v="All Open Access; Green Open Access"/>
    <s v="Scopus"/>
    <s v="2-s2.0-85145605759"/>
  </r>
  <r>
    <s v="Caballero-Anthony M.; Emmers R."/>
    <s v="Caballero-Anthony, Mely (8668726600); Emmers, Ralf (9132336900)"/>
    <s v="8668726600; 9132336900"/>
    <s v="Keeping the peace in Southeast Asia: ASEAN and the quest for positive peace"/>
    <x v="11"/>
    <s v="Pacific Review"/>
    <n v="35"/>
    <n v="6"/>
    <m/>
    <n v="1079"/>
    <n v="1104"/>
    <n v="25"/>
    <n v="7"/>
    <s v="10.1080/09512748.2022.2075440"/>
    <s v="https://www.scopus.com/inward/record.uri?eid=2-s2.0-85130159783&amp;doi=10.1080%2f09512748.2022.2075440&amp;partnerID=40&amp;md5=c55cd950132865ca5ea4052811e921d8"/>
    <s v="Article"/>
    <s v="Final"/>
    <s v="All Open Access; Green Open Access"/>
    <s v="Scopus"/>
    <s v="2-s2.0-85130159783"/>
  </r>
  <r>
    <s v="Teo S."/>
    <s v="Teo, Sarah (56868271800)"/>
    <n v="56868271800"/>
    <s v="Middle powers amid Sino-U.S. rivalry: assessing the ‘good regional citizenship’ of Australia and Indonesia"/>
    <x v="11"/>
    <s v="Pacific Review"/>
    <n v="35"/>
    <n v="6"/>
    <m/>
    <n v="1135"/>
    <n v="1161"/>
    <n v="26"/>
    <n v="6"/>
    <s v="10.1080/09512748.2022.2075444"/>
    <s v="https://www.scopus.com/inward/record.uri?eid=2-s2.0-85130602645&amp;doi=10.1080%2f09512748.2022.2075444&amp;partnerID=40&amp;md5=ff299032983e01766195972e6ec25bcb"/>
    <s v="Article"/>
    <s v="Final"/>
    <s v="All Open Access; Green Open Access"/>
    <s v="Scopus"/>
    <s v="2-s2.0-85130602645"/>
  </r>
  <r>
    <s v="Chuong N.A.; Hiep T.X.; Binh N.T.; Hue N.H.; Thao N.T.P."/>
    <s v="Chuong, Nguyen Anh (57247707100); Hiep, Tran Xuan (57212152131); Binh, Nguyen Tuan (57221775698); Hue, Nguyen Hoang (57734501600); Thao, Nguyen Thi Phuong (57192960077)"/>
    <s v="57247707100; 57212152131; 57221775698; 57734501600; 57192960077"/>
    <s v="Competitive Strategy of India and China in Southeast Asia and Its Impact on the Region"/>
    <x v="11"/>
    <s v="Croatian International Relations Review"/>
    <n v="28"/>
    <n v="89"/>
    <m/>
    <n v="225"/>
    <n v="245"/>
    <n v="20"/>
    <n v="1"/>
    <s v="10.2478/CIRR-2022-0013"/>
    <s v="https://www.scopus.com/inward/record.uri?eid=2-s2.0-85131698558&amp;doi=10.2478%2fCIRR-2022-0013&amp;partnerID=40&amp;md5=9f657ddeb20095e7934266cfd53087a8"/>
    <s v="Article"/>
    <s v="Final"/>
    <m/>
    <s v="Scopus"/>
    <s v="2-s2.0-85131698558"/>
  </r>
  <r>
    <s v="Lee C.-K."/>
    <s v="Lee, Choong–Koo (57196746130)"/>
    <n v="57196746130"/>
    <s v="A South China Sea Conflict and the ROK’s Cooperation with the United States"/>
    <x v="11"/>
    <s v="Korean Journal of Defense Analysis"/>
    <n v="34"/>
    <n v="4"/>
    <m/>
    <n v="671"/>
    <n v="686"/>
    <n v="15"/>
    <n v="0"/>
    <s v="10.22883/kjda.2022.34.4.008"/>
    <s v="https://www.scopus.com/inward/record.uri?eid=2-s2.0-85143786711&amp;doi=10.22883%2fkjda.2022.34.4.008&amp;partnerID=40&amp;md5=fccb81f57a6d1ec179e2a49e7d7f2fae"/>
    <s v="Article"/>
    <s v="Final"/>
    <m/>
    <s v="Scopus"/>
    <s v="2-s2.0-85143786711"/>
  </r>
  <r>
    <s v="Kuik C.-C."/>
    <s v="Kuik, Cheng-Chwee (55303741000)"/>
    <n v="55303741000"/>
    <s v="Shades of grey: riskification and hedging in the Indo-Pacific"/>
    <x v="12"/>
    <s v="Pacific Review"/>
    <n v="36"/>
    <n v="6"/>
    <m/>
    <n v="1181"/>
    <n v="1214"/>
    <n v="33"/>
    <n v="10"/>
    <s v="10.1080/09512748.2022.2110608"/>
    <s v="https://www.scopus.com/inward/record.uri?eid=2-s2.0-85138232854&amp;doi=10.1080%2f09512748.2022.2110608&amp;partnerID=40&amp;md5=7fa8bb6e15a9cd642d10d820affb967f"/>
    <s v="Article"/>
    <s v="Final"/>
    <m/>
    <s v="Scopus"/>
    <s v="2-s2.0-85138232854"/>
  </r>
  <r>
    <s v="Govella K."/>
    <s v="Govella, Kristi (35320798300)"/>
    <n v="35320798300"/>
    <s v="Avoiding and exploiting the tragedy of the commons: fishing, crime, and conflict in the South China Sea"/>
    <x v="12"/>
    <s v="International Politics"/>
    <n v="60"/>
    <n v="6"/>
    <m/>
    <n v="1294"/>
    <n v="1314"/>
    <n v="20"/>
    <n v="1"/>
    <s v="10.1057/s41311-023-00501-4"/>
    <s v="https://www.scopus.com/inward/record.uri?eid=2-s2.0-85171187634&amp;doi=10.1057%2fs41311-023-00501-4&amp;partnerID=40&amp;md5=7c591e14f0dfbe641a2bd31586618951"/>
    <s v="Article"/>
    <s v="Final"/>
    <m/>
    <s v="Scopus"/>
    <s v="2-s2.0-85171187634"/>
  </r>
  <r>
    <s v="Wu C.C.-H."/>
    <s v="Wu, Charles Chong-Han (57191380800)"/>
    <n v="57191380800"/>
    <s v="The Maritime Silk Road Initiative and Its Implications for China’s Regional Policy"/>
    <x v="12"/>
    <s v="Chinese Political Science Review"/>
    <n v="8"/>
    <n v="1"/>
    <m/>
    <n v="63"/>
    <n v="83"/>
    <n v="20"/>
    <n v="8"/>
    <s v="10.1007/s41111-022-00209-5"/>
    <s v="https://www.scopus.com/inward/record.uri?eid=2-s2.0-85124410226&amp;doi=10.1007%2fs41111-022-00209-5&amp;partnerID=40&amp;md5=d5f39f8e9cfeaeabafb52eaa42efa951"/>
    <s v="Article"/>
    <s v="Final"/>
    <m/>
    <s v="Scopus"/>
    <s v="2-s2.0-85124410226"/>
  </r>
  <r>
    <s v="Nguyen H.K.T."/>
    <s v="Nguyen, Hong Kong To (57226656646)"/>
    <n v="57226656646"/>
    <s v="Law and (Dis)order in the South China Sea: Analyzing Maritime Law-Enforcement Activities in 2010–22"/>
    <x v="12"/>
    <s v="Asia Policy"/>
    <n v="18"/>
    <n v="2"/>
    <m/>
    <n v="127"/>
    <n v="164"/>
    <n v="37"/>
    <n v="3"/>
    <m/>
    <s v="https://www.scopus.com/inward/record.uri?eid=2-s2.0-85159841216&amp;partnerID=40&amp;md5=1a79b28a2b3d8b8232d889ea63ef38d6"/>
    <s v="Article"/>
    <s v="Final"/>
    <m/>
    <s v="Scopus"/>
    <s v="2-s2.0-85159841216"/>
  </r>
  <r>
    <s v="Kodama Y."/>
    <s v="Kodama, Yoshinori (58771956700)"/>
    <n v="58771956700"/>
    <s v="JUDICIALIZATION IN AND AROUND THE SOUTH CHINA SEA"/>
    <x v="12"/>
    <s v="Indonesian Journal of International Law"/>
    <n v="21"/>
    <n v="1"/>
    <m/>
    <n v="145"/>
    <n v="206"/>
    <n v="61"/>
    <n v="0"/>
    <s v="10.17304/ijil.vol21.1.6"/>
    <s v="https://www.scopus.com/inward/record.uri?eid=2-s2.0-85180178029&amp;doi=10.17304%2fijil.vol21.1.6&amp;partnerID=40&amp;md5=cb435814c886e7bdb4722330e5cb1b4d"/>
    <s v="Article"/>
    <s v="Final"/>
    <m/>
    <s v="Scopus"/>
    <s v="2-s2.0-85180178029"/>
  </r>
  <r>
    <s v="Karim M.F.; Gobel A.; Wicaksana I.G.W."/>
    <s v="Karim, Moch Faisal (57190738976); Gobel, Andini (58494190700); Wicaksana, I Gede Wahyu (56662194000)"/>
    <s v="57190738976; 58494190700; 56662194000"/>
    <s v="Bureaucratic Politics and Informality in Foreign Policy-making: The Case of Indonesia-China Relations"/>
    <x v="12"/>
    <s v="International Spectator"/>
    <n v="58"/>
    <n v="3"/>
    <m/>
    <n v="131"/>
    <n v="151"/>
    <n v="20"/>
    <n v="1"/>
    <s v="10.1080/03932729.2023.2235140"/>
    <s v="https://www.scopus.com/inward/record.uri?eid=2-s2.0-85165128450&amp;doi=10.1080%2f03932729.2023.2235140&amp;partnerID=40&amp;md5=50031e848024aac526fab89ea382640a"/>
    <s v="Article"/>
    <s v="Final"/>
    <m/>
    <s v="Scopus"/>
    <s v="2-s2.0-85165128450"/>
  </r>
  <r>
    <s v="Ashley R.; Fraser J."/>
    <s v="Ashley, Ryan (57729867000); Fraser, Jada (58281155300)"/>
    <s v="57729867000; 58281155300"/>
    <s v="Common Waters: Japan, South Korea, and Maritime Security Assistance in Southeast Asia"/>
    <x v="12"/>
    <s v="Asia Policy"/>
    <n v="18"/>
    <n v="2"/>
    <m/>
    <n v="101"/>
    <n v="126"/>
    <n v="25"/>
    <n v="0"/>
    <m/>
    <s v="https://www.scopus.com/inward/record.uri?eid=2-s2.0-85159848828&amp;partnerID=40&amp;md5=9ad638f2df563d9e24af27d1d8397092"/>
    <s v="Article"/>
    <s v="Final"/>
    <m/>
    <s v="Scopus"/>
    <s v="2-s2.0-85159848828"/>
  </r>
  <r>
    <s v="Bajpaee C."/>
    <s v="Bajpaee, Chietigj (56299399100)"/>
    <n v="56299399100"/>
    <s v="Reinvigorating India’s ‘Act East’ Policy in an age of renewed power politics"/>
    <x v="12"/>
    <s v="Pacific Review"/>
    <n v="36"/>
    <n v="3"/>
    <m/>
    <n v="631"/>
    <n v="661"/>
    <n v="30"/>
    <n v="5"/>
    <s v="10.1080/09512748.2022.2110609"/>
    <s v="https://www.scopus.com/inward/record.uri?eid=2-s2.0-85135864628&amp;doi=10.1080%2f09512748.2022.2110609&amp;partnerID=40&amp;md5=eb3525590ff19aa3a5f236cf5a89dfb7"/>
    <s v="Article"/>
    <s v="Final"/>
    <s v="All Open Access; Hybrid Gold Open Access"/>
    <s v="Scopus"/>
    <s v="2-s2.0-85135864628"/>
  </r>
  <r>
    <s v="Dar A.I."/>
    <s v="Dar, Arshid Iqbal (57223312995)"/>
    <n v="57223312995"/>
    <s v="India’s Indo-Pacific Policy: Unpacking the Underpinnings and Challenges"/>
    <x v="12"/>
    <s v="Chinese Political Science Review"/>
    <n v="8"/>
    <n v="4"/>
    <m/>
    <n v="597"/>
    <n v="617"/>
    <n v="20"/>
    <n v="2"/>
    <s v="10.1007/s41111-022-00226-4"/>
    <s v="https://www.scopus.com/inward/record.uri?eid=2-s2.0-85138001725&amp;doi=10.1007%2fs41111-022-00226-4&amp;partnerID=40&amp;md5=9e5bc1ed7135e4b52a1f918faea406ec"/>
    <s v="Article"/>
    <s v="Final"/>
    <m/>
    <s v="Scopus"/>
    <s v="2-s2.0-85138001725"/>
  </r>
  <r>
    <s v="Trias A.P.L.; Cook A.D.B."/>
    <s v="Trias, Angelo Paolo L. (57204676886); Cook, Alistair D.B. (56053773600)"/>
    <s v="57204676886; 56053773600"/>
    <s v="Military humanitarian and disaster governance networks in Southeast Asia: framework and analysis"/>
    <x v="12"/>
    <s v="Disasters"/>
    <n v="47"/>
    <n v="1"/>
    <m/>
    <n v="205"/>
    <n v="241"/>
    <n v="36"/>
    <n v="1"/>
    <s v="10.1111/disa.12542"/>
    <s v="https://www.scopus.com/inward/record.uri?eid=2-s2.0-85139944486&amp;doi=10.1111%2fdisa.12542&amp;partnerID=40&amp;md5=15832d770ebb3d954aeb1d881f98ba5e"/>
    <s v="Article"/>
    <s v="Final"/>
    <m/>
    <s v="Scopus"/>
    <s v="2-s2.0-85139944486"/>
  </r>
  <r>
    <s v="Pitakdumrongkit K."/>
    <s v="Pitakdumrongkit, Kaewkamol (56525342400)"/>
    <n v="56525342400"/>
    <s v="Managing economic statecraft via multilateral agreements: the roles of ASEAN member states in shaping Regional Comprehensive Economic Partnership"/>
    <x v="12"/>
    <s v="Pacific Review"/>
    <n v="36"/>
    <n v="5"/>
    <m/>
    <n v="1120"/>
    <n v="1147"/>
    <n v="27"/>
    <n v="1"/>
    <s v="10.1080/09512748.2023.2200022"/>
    <s v="https://www.scopus.com/inward/record.uri?eid=2-s2.0-85152470885&amp;doi=10.1080%2f09512748.2023.2200022&amp;partnerID=40&amp;md5=7d21a7722ae5b9d09fff5a4b509ddd60"/>
    <s v="Article"/>
    <s v="Final"/>
    <m/>
    <s v="Scopus"/>
    <s v="2-s2.0-85152470885"/>
  </r>
  <r>
    <s v="Ho A.N."/>
    <s v="Ho, Ai Nhan (57864610300)"/>
    <n v="57864610300"/>
    <s v="Challenges Toward a Rule-based Order in the South China Sea"/>
    <x v="12"/>
    <s v="Journal of Asian Security and International Affairs"/>
    <n v="10"/>
    <n v="2"/>
    <m/>
    <n v="169"/>
    <n v="189"/>
    <n v="20"/>
    <n v="0"/>
    <s v="10.1177/23477970231173539"/>
    <s v="https://www.scopus.com/inward/record.uri?eid=2-s2.0-85168655768&amp;doi=10.1177%2f23477970231173539&amp;partnerID=40&amp;md5=44bfc694b61bc991a12357fd943f0e27"/>
    <s v="Article"/>
    <s v="Final"/>
    <m/>
    <s v="Scopus"/>
    <s v="2-s2.0-85168655768"/>
  </r>
  <r>
    <s v="Chao W.-C."/>
    <s v="Chao, Wen-Chih (55868882700)"/>
    <n v="55868882700"/>
    <s v="The Political Economy of the Philippines and Its Development Strategy under China-USA Power Rivalry and Hegemonic Competition: Hedge with Balance"/>
    <x v="12"/>
    <s v="Chinese Economy"/>
    <n v="56"/>
    <n v="4"/>
    <m/>
    <n v="292"/>
    <n v="303"/>
    <n v="11"/>
    <n v="2"/>
    <s v="10.1080/10971475.2022.2136694"/>
    <s v="https://www.scopus.com/inward/record.uri?eid=2-s2.0-85141020211&amp;doi=10.1080%2f10971475.2022.2136694&amp;partnerID=40&amp;md5=9816731def42c70d58a6330f5687c1ba"/>
    <s v="Article"/>
    <s v="Final"/>
    <m/>
    <s v="Scopus"/>
    <s v="2-s2.0-85141020211"/>
  </r>
  <r>
    <s v="Coutaz G."/>
    <s v="Coutaz, Gregory (57209838633)"/>
    <n v="57209838633"/>
    <s v="Fishery Conflicts in the South China Sea: The Future Lies in Cooperation"/>
    <x v="12"/>
    <s v="Tamkang Journal of International Affairs"/>
    <n v="27"/>
    <n v="1"/>
    <m/>
    <n v="1"/>
    <n v="42"/>
    <n v="41"/>
    <n v="0"/>
    <s v="10.6185/TJIA.V.202309_27(1).0001"/>
    <s v="https://www.scopus.com/inward/record.uri?eid=2-s2.0-85184681365&amp;doi=10.6185%2fTJIA.V.202309_27%281%29.0001&amp;partnerID=40&amp;md5=add25383ecdbb9f0138a82cbb0467e62"/>
    <s v="Article"/>
    <s v="Final"/>
    <m/>
    <s v="Scopus"/>
    <s v="2-s2.0-85184681365"/>
  </r>
  <r>
    <s v="Zhang K."/>
    <s v="Zhang, Ketian (57210261063)"/>
    <n v="57210261063"/>
    <s v="Explaining China’s large-scale land reclamation in the South China Sea: Timing and rationale"/>
    <x v="12"/>
    <s v="Journal of Strategic Studies"/>
    <n v="46"/>
    <d v="2024-07-06T00:00:00"/>
    <m/>
    <n v="1185"/>
    <n v="1214"/>
    <n v="29"/>
    <n v="10"/>
    <s v="10.1080/01402390.2022.2040486"/>
    <s v="https://www.scopus.com/inward/record.uri?eid=2-s2.0-85126066461&amp;doi=10.1080%2f01402390.2022.2040486&amp;partnerID=40&amp;md5=15d3b8af09ad083ca3122bb0cb674352"/>
    <s v="Article"/>
    <s v="Final"/>
    <m/>
    <s v="Scopus"/>
    <s v="2-s2.0-85126066461"/>
  </r>
  <r>
    <s v="Yu C.; Chang Y.-C."/>
    <s v="Yu, Chengyong (58249259000); Chang, Yen-Chiang (35263524900)"/>
    <s v="58249259000; 35263524900"/>
    <s v="China’s Incentives and Efforts against IUU Fishing in the South China Sea"/>
    <x v="12"/>
    <s v="Sustainability (Switzerland)"/>
    <n v="15"/>
    <n v="9"/>
    <n v="7255"/>
    <m/>
    <m/>
    <m/>
    <n v="1"/>
    <s v="10.3390/su15097255"/>
    <s v="https://www.scopus.com/inward/record.uri?eid=2-s2.0-85159288687&amp;doi=10.3390%2fsu15097255&amp;partnerID=40&amp;md5=2eab3c106724a030ff7d6ee8361e91e9"/>
    <s v="Article"/>
    <s v="Final"/>
    <s v="All Open Access; Gold Open Access"/>
    <s v="Scopus"/>
    <s v="2-s2.0-85159288687"/>
  </r>
  <r>
    <s v="Putra B.A."/>
    <s v="Putra, Bama Andika (57208339729)"/>
    <n v="57208339729"/>
    <s v="The Golden Age of White Hulls: Deciphering the Philippines’ Maritime Diplomatic Strategies in the South China Sea"/>
    <x v="12"/>
    <s v="Social Sciences"/>
    <n v="12"/>
    <n v="6"/>
    <n v="337"/>
    <m/>
    <m/>
    <m/>
    <n v="4"/>
    <s v="10.3390/socsci12060337"/>
    <s v="https://www.scopus.com/inward/record.uri?eid=2-s2.0-85163638674&amp;doi=10.3390%2fsocsci12060337&amp;partnerID=40&amp;md5=3c9e517ee9a4b3fb6a3ec7025d5ee4c2"/>
    <s v="Article"/>
    <s v="Final"/>
    <s v="All Open Access; Gold Open Access"/>
    <s v="Scopus"/>
    <s v="2-s2.0-85163638674"/>
  </r>
  <r>
    <s v="Bettani S.A.; Ahmed Z.S."/>
    <s v="Bettani, Salman Ali (58928596200); Ahmed, Zahid Shahab (36052589100)"/>
    <s v="58928596200; 36052589100"/>
    <s v="China and Regional Security in South and Southeast Asia: A Comparative Analysis of ASEAN and SAARC"/>
    <x v="12"/>
    <s v="Journal of ASEAN Studies"/>
    <n v="11"/>
    <n v="2"/>
    <m/>
    <n v="289"/>
    <n v="310"/>
    <n v="21"/>
    <n v="1"/>
    <s v="10.21512/jas.v11i2.9600"/>
    <s v="https://www.scopus.com/inward/record.uri?eid=2-s2.0-85187292160&amp;doi=10.21512%2fjas.v11i2.9600&amp;partnerID=40&amp;md5=4a5158440b9f9ccc73a4aade927f870f"/>
    <s v="Article"/>
    <s v="Final"/>
    <s v="All Open Access; Gold Open Access"/>
    <s v="Scopus"/>
    <s v="2-s2.0-85187292160"/>
  </r>
  <r>
    <s v="Hu L."/>
    <s v="Hu, Le (57225054724)"/>
    <n v="57225054724"/>
    <s v="Examining ASEAN’s effectiveness in managing South China Sea disputes"/>
    <x v="12"/>
    <s v="Pacific Review"/>
    <n v="36"/>
    <n v="1"/>
    <m/>
    <n v="119"/>
    <n v="147"/>
    <n v="28"/>
    <n v="12"/>
    <s v="10.1080/09512748.2021.1934519"/>
    <s v="https://www.scopus.com/inward/record.uri?eid=2-s2.0-85109045037&amp;doi=10.1080%2f09512748.2021.1934519&amp;partnerID=40&amp;md5=6672b3a895caf845726c2ef96164fe4e"/>
    <s v="Article"/>
    <s v="Final"/>
    <s v="All Open Access; Hybrid Gold Open Access"/>
    <s v="Scopus"/>
    <s v="2-s2.0-85109045037"/>
  </r>
  <r>
    <s v="Liu K."/>
    <s v="Liu, Kerry (57194574240)"/>
    <n v="57194574240"/>
    <s v="China’s Territory (Disputes) and the China Threat: An Empirical Analysis from the Perspective of the English-Speaking Public"/>
    <x v="13"/>
    <s v="Journal of Territorial and Maritime Studies"/>
    <n v="11"/>
    <n v="1"/>
    <m/>
    <n v="87"/>
    <n v="113"/>
    <n v="26"/>
    <n v="0"/>
    <s v="10.2307/JTMS.11.1.87"/>
    <s v="https://www.scopus.com/inward/record.uri?eid=2-s2.0-85191024882&amp;doi=10.2307%2fJTMS.11.1.87&amp;partnerID=40&amp;md5=1a3b65319bb3c56b76ef4621e7edafdb"/>
    <s v="Article"/>
    <s v="Final"/>
    <m/>
    <s v="Scopus"/>
    <s v="2-s2.0-85191024882"/>
  </r>
  <r>
    <s v="Panao R.A.L."/>
    <s v="Panao, Rogelio Alicor Labalan (56192649300)"/>
    <n v="56192649300"/>
    <s v="Winning hearts in Southeast Asia? News sentiment on China amidst the US–PRC trade war"/>
    <x v="13"/>
    <s v="Asian Journal of Comparative Politics"/>
    <m/>
    <m/>
    <m/>
    <m/>
    <m/>
    <m/>
    <n v="0"/>
    <s v="10.1177/20578911241252692"/>
    <s v="https://www.scopus.com/inward/record.uri?eid=2-s2.0-85193638955&amp;doi=10.1177%2f20578911241252692&amp;partnerID=40&amp;md5=ae115c206a2bbdf10a6409345155abbe"/>
    <s v="Article"/>
    <s v="Article in press"/>
    <m/>
    <s v="Scopus"/>
    <s v="2-s2.0-85193638955"/>
  </r>
  <r>
    <s v="Dannhauer P."/>
    <s v="Dannhauer, Pia (57913771700)"/>
    <n v="57913771700"/>
    <s v="Elite role conceptions and Indonesia’s agency in the ASEAN Outlook on the Indo-Pacific: reclaiming leadership"/>
    <x v="13"/>
    <s v="Pacific Review"/>
    <n v="37"/>
    <n v="1"/>
    <m/>
    <n v="30"/>
    <n v="55"/>
    <n v="25"/>
    <n v="4"/>
    <s v="10.1080/09512748.2022.2125999"/>
    <s v="https://www.scopus.com/inward/record.uri?eid=2-s2.0-85139100436&amp;doi=10.1080%2f09512748.2022.2125999&amp;partnerID=40&amp;md5=f090785e507a85e833c72e2adf2a10ad"/>
    <s v="Article"/>
    <s v="Final"/>
    <m/>
    <s v="Scopus"/>
    <s v="2-s2.0-85139100436"/>
  </r>
  <r>
    <s v="Putra B.A."/>
    <s v="Putra, Bama Andika (57208339729)"/>
    <n v="57208339729"/>
    <s v="Malaysia’s “Triadic Maritime Diplomacy” Strategy in the South China Sea"/>
    <x v="13"/>
    <s v="All Azimuth"/>
    <n v="13"/>
    <n v="2"/>
    <m/>
    <n v="166"/>
    <n v="192"/>
    <n v="26"/>
    <n v="0"/>
    <s v="10.20991/ALLAZIMUTH.1455442"/>
    <s v="https://www.scopus.com/inward/record.uri?eid=2-s2.0-85200894076&amp;doi=10.20991%2fALLAZIMUTH.1455442&amp;partnerID=40&amp;md5=7bc6f55541fe5d1d4b91fb19e58d78cf"/>
    <s v="Article"/>
    <s v="Final"/>
    <s v="All Open Access; Green Open Access"/>
    <s v="Scopus"/>
    <s v="2-s2.0-85200894076"/>
  </r>
  <r>
    <s v="Indrarajah T.; Desimoni V.; Jules T.D."/>
    <s v="Indrarajah, Tinesh (58922079800); Desimoni, Victoria (58150306800); Jules, Tavis D. (54973890800)"/>
    <s v="58922079800; 58150306800; 54973890800"/>
    <s v="What CARICOM can learn from other regionalism(s) in an era of deglobalisation"/>
    <x v="13"/>
    <s v="Round Table"/>
    <n v="113"/>
    <n v="1"/>
    <m/>
    <n v="56"/>
    <n v="70"/>
    <n v="14"/>
    <n v="0"/>
    <s v="10.1080/00358533.2024.2307798"/>
    <s v="https://www.scopus.com/inward/record.uri?eid=2-s2.0-85186868561&amp;doi=10.1080%2f00358533.2024.2307798&amp;partnerID=40&amp;md5=30f04e486b2a46f5657402ad32d5f019"/>
    <s v="Article"/>
    <s v="Final"/>
    <m/>
    <s v="Scopus"/>
    <s v="2-s2.0-85186868561"/>
  </r>
  <r>
    <s v="Bartlett B."/>
    <s v="Bartlett, Benjamin (57219097749)"/>
    <n v="57219097749"/>
    <s v="Why do states engage in cybersecurity capacity-building assistance? Evidence from Japan"/>
    <x v="13"/>
    <s v="Pacific Review"/>
    <n v="37"/>
    <n v="3"/>
    <m/>
    <n v="475"/>
    <n v="503"/>
    <n v="28"/>
    <n v="1"/>
    <s v="10.1080/09512748.2023.2183242"/>
    <s v="https://www.scopus.com/inward/record.uri?eid=2-s2.0-85149409578&amp;doi=10.1080%2f09512748.2023.2183242&amp;partnerID=40&amp;md5=66cf7eb5aecb9bb00a318d7760e3b669"/>
    <s v="Article"/>
    <s v="Final"/>
    <m/>
    <s v="Scopus"/>
    <s v="2-s2.0-85149409578"/>
  </r>
  <r>
    <s v="Chang Y.-C.; Duan X.; Yang L."/>
    <s v="Chang, Yen-Chiang (35263524900); Duan, Xingyi (58137451100); Yang, Ling (59121423800)"/>
    <s v="35263524900; 58137451100; 59121423800"/>
    <s v="The legal basis for Chinese vessels navigating in the South China Sea"/>
    <x v="13"/>
    <s v="Marine Policy"/>
    <n v="165"/>
    <m/>
    <n v="106229"/>
    <m/>
    <m/>
    <m/>
    <n v="1"/>
    <s v="10.1016/j.marpol.2024.106229"/>
    <s v="https://www.scopus.com/inward/record.uri?eid=2-s2.0-85194187945&amp;doi=10.1016%2fj.marpol.2024.106229&amp;partnerID=40&amp;md5=23612b31b709025b9a05029d75f5dfd7"/>
    <s v="Article"/>
    <s v="Final"/>
    <m/>
    <s v="Scopus"/>
    <s v="2-s2.0-85194187945"/>
  </r>
  <r>
    <s v="Putra B.A."/>
    <s v="Putra, Bama Andika (57208339729)"/>
    <n v="57208339729"/>
    <s v="Brunei’s silent claims in the South China Sea: a case for the theory of trade expectations"/>
    <x v="13"/>
    <s v="Cogent Social Sciences"/>
    <n v="10"/>
    <n v="1"/>
    <n v="2317533"/>
    <m/>
    <m/>
    <m/>
    <n v="0"/>
    <s v="10.1080/23311886.2024.2317533"/>
    <s v="https://www.scopus.com/inward/record.uri?eid=2-s2.0-85185108776&amp;doi=10.1080%2f23311886.2024.2317533&amp;partnerID=40&amp;md5=64bffa21fc8774245e1d59fe43bb241d"/>
    <s v="Article"/>
    <s v="Final"/>
    <s v="All Open Access; Gold Open Access"/>
    <s v="Scopus"/>
    <s v="2-s2.0-85185108776"/>
  </r>
  <r>
    <s v="Kao P.-S.; Soong J.-J."/>
    <s v="Kao, Pei-Shan (57258684700); Soong, Jenn-Jaw (56765759000)"/>
    <s v="57258684700; 56765759000"/>
    <s v="China’s Marine Political Economy in the South China Sea and Its Development Strategy under the Belt and Road Initiative: Opportunities, Challenges, and Trends on the 14th Five-Year Plan"/>
    <x v="13"/>
    <s v="Chinese Economy"/>
    <m/>
    <m/>
    <m/>
    <m/>
    <m/>
    <m/>
    <n v="0"/>
    <s v="10.1080/10971475.2024.2384170"/>
    <s v="https://www.scopus.com/inward/record.uri?eid=2-s2.0-85200119697&amp;doi=10.1080%2f10971475.2024.2384170&amp;partnerID=40&amp;md5=25edea541376f5d3f4b60269bcc9583a"/>
    <s v="Article"/>
    <s v="Article in press"/>
    <m/>
    <s v="Scopus"/>
    <s v="2-s2.0-85200119697"/>
  </r>
  <r>
    <s v="Nguyen H.-K.T."/>
    <s v="Nguyen, Hong-Kong To (58793381200)"/>
    <n v="58793381200"/>
    <s v="Mapping a decade of disputant and non-disputant behaviors in the South China Sea dispute"/>
    <x v="13"/>
    <s v="Marine Policy"/>
    <n v="165"/>
    <m/>
    <n v="106189"/>
    <m/>
    <m/>
    <m/>
    <n v="0"/>
    <s v="10.1016/j.marpol.2024.106189"/>
    <s v="https://www.scopus.com/inward/record.uri?eid=2-s2.0-85193958975&amp;doi=10.1016%2fj.marpol.2024.106189&amp;partnerID=40&amp;md5=b3c9486d3f6788a1c5858d7526f2e3c5"/>
    <s v="Article"/>
    <s v="Final"/>
    <m/>
    <s v="Scopus"/>
    <s v="2-s2.0-85193958975"/>
  </r>
  <r>
    <s v="Kliem F."/>
    <s v="Kliem, Frederick (57202950651)"/>
    <n v="57202950651"/>
    <s v="Not our war. What ASEAN governments’ responses to the Ukraine war tell us about Southeast Asia"/>
    <x v="13"/>
    <s v="Pacific Review"/>
    <n v="37"/>
    <n v="1"/>
    <m/>
    <n v="211"/>
    <n v="243"/>
    <n v="32"/>
    <n v="3"/>
    <s v="10.1080/09512748.2023.2202925"/>
    <s v="https://www.scopus.com/inward/record.uri?eid=2-s2.0-85153117758&amp;doi=10.1080%2f09512748.2023.2202925&amp;partnerID=40&amp;md5=3719c797841aaf97e6f233be4b1d1549"/>
    <s v="Article"/>
    <s v="Final"/>
    <m/>
    <s v="Scopus"/>
    <s v="2-s2.0-85153117758"/>
  </r>
  <r>
    <s v="Duxbury A."/>
    <s v="Duxbury, Alison (35830658400)"/>
    <n v="35830658400"/>
    <s v="Rewriting the law of international organizations: Whither the Asia Pacific?"/>
    <x v="13"/>
    <s v="Leiden Journal of International Law"/>
    <m/>
    <m/>
    <m/>
    <m/>
    <m/>
    <m/>
    <n v="0"/>
    <s v="10.1017/S092215652400013X"/>
    <s v="https://www.scopus.com/inward/record.uri?eid=2-s2.0-85193267005&amp;doi=10.1017%2fS092215652400013X&amp;partnerID=40&amp;md5=979023a3a4970953df75c3e65be357ba"/>
    <s v="Article"/>
    <s v="Article in press"/>
    <s v="All Open Access; Hybrid Gold Open Access"/>
    <s v="Scopus"/>
    <s v="2-s2.0-85193267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D8257F-70ED-4F15-870B-3670446C4F7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U3:V17" firstHeaderRow="1" firstDataRow="1" firstDataCol="1"/>
  <pivotFields count="20">
    <pivotField showAll="0"/>
    <pivotField showAll="0"/>
    <pivotField showAll="0"/>
    <pivotField showAll="0"/>
    <pivotField axis="axisRow" dataField="1" showAll="0">
      <items count="15">
        <item x="0"/>
        <item x="1"/>
        <item x="2"/>
        <item x="3"/>
        <item x="4"/>
        <item x="5"/>
        <item x="6"/>
        <item x="7"/>
        <item x="8"/>
        <item x="9"/>
        <item x="10"/>
        <item x="11"/>
        <item x="12"/>
        <item h="1"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4">
    <i>
      <x/>
    </i>
    <i>
      <x v="1"/>
    </i>
    <i>
      <x v="2"/>
    </i>
    <i>
      <x v="3"/>
    </i>
    <i>
      <x v="4"/>
    </i>
    <i>
      <x v="5"/>
    </i>
    <i>
      <x v="6"/>
    </i>
    <i>
      <x v="7"/>
    </i>
    <i>
      <x v="8"/>
    </i>
    <i>
      <x v="9"/>
    </i>
    <i>
      <x v="10"/>
    </i>
    <i>
      <x v="11"/>
    </i>
    <i>
      <x v="12"/>
    </i>
    <i t="grand">
      <x/>
    </i>
  </rowItems>
  <colItems count="1">
    <i/>
  </colItems>
  <dataFields count="1">
    <dataField name="Count of Year" fld="4" subtotal="count" baseField="4" baseItem="0"/>
  </dataFields>
  <chartFormats count="1">
    <chartFormat chart="0"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3:G36" headerRowCount="0">
  <tableColumns count="7">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s>
  <tableStyleInfo name="SCMP-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3:F45">
  <tableColumns count="6">
    <tableColumn id="1" xr3:uid="{00000000-0010-0000-0100-000001000000}" name="nr"/>
    <tableColumn id="2" xr3:uid="{00000000-0010-0000-0100-000002000000}" name="title"/>
    <tableColumn id="3" xr3:uid="{00000000-0010-0000-0100-000003000000}" name="Column1"/>
    <tableColumn id="4" xr3:uid="{00000000-0010-0000-0100-000004000000}" name="link"/>
    <tableColumn id="5" xr3:uid="{00000000-0010-0000-0100-000005000000}" name="date"/>
    <tableColumn id="6" xr3:uid="{00000000-0010-0000-0100-000006000000}" name="Column2"/>
  </tableColumns>
  <tableStyleInfo name="Nikkei Asia-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3:F44">
  <tableColumns count="6">
    <tableColumn id="1" xr3:uid="{00000000-0010-0000-0200-000001000000}" name="nr"/>
    <tableColumn id="2" xr3:uid="{00000000-0010-0000-0200-000002000000}" name="title"/>
    <tableColumn id="3" xr3:uid="{00000000-0010-0000-0200-000003000000}" name="Column1"/>
    <tableColumn id="4" xr3:uid="{00000000-0010-0000-0200-000004000000}" name="link"/>
    <tableColumn id="5" xr3:uid="{00000000-0010-0000-0200-000005000000}" name="date"/>
    <tableColumn id="6" xr3:uid="{00000000-0010-0000-0200-000006000000}" name="Column2"/>
  </tableColumns>
  <tableStyleInfo name="ST-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E85E01-A21F-4DAF-88D3-3F1074110B33}" name="Table7" displayName="Table7" ref="B2:E17" totalsRowShown="0" headerRowDxfId="7" headerRowBorderDxfId="6" tableBorderDxfId="5" totalsRowBorderDxfId="4">
  <autoFilter ref="B2:E17" xr:uid="{F8E85E01-A21F-4DAF-88D3-3F1074110B33}"/>
  <tableColumns count="4">
    <tableColumn id="1" xr3:uid="{921628A0-A17F-4743-9326-357E5425CD96}" name="Year" dataDxfId="3"/>
    <tableColumn id="2" xr3:uid="{DFECC27D-9CE5-4660-9B2E-A17ACF002DA1}" name="Documents" dataDxfId="2"/>
    <tableColumn id="3" xr3:uid="{55174939-008B-46FC-9D68-650F62C8B550}" name="News" dataDxfId="1"/>
    <tableColumn id="4" xr3:uid="{4BA156D5-94F2-459A-BE20-5C1A7E7A3D3C}" name="Scholarly Articles" dataDxfId="0"/>
  </tableColumns>
  <tableStyleInfo name="TableStyleMedium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 displayName="Table1" ref="A1:C50" headerRowDxfId="32" dataDxfId="30" totalsRowDxfId="28" headerRowBorderDxfId="31" tableBorderDxfId="29">
  <autoFilter ref="A1:C50" xr:uid="{00000000-000C-0000-FFFF-FFFF03000000}"/>
  <sortState xmlns:xlrd2="http://schemas.microsoft.com/office/spreadsheetml/2017/richdata2" ref="A2:C50">
    <sortCondition ref="C1:C50"/>
  </sortState>
  <tableColumns count="3">
    <tableColumn id="1" xr3:uid="{00000000-0010-0000-0300-000001000000}" name="title" dataDxfId="27"/>
    <tableColumn id="2" xr3:uid="{00000000-0010-0000-0300-000002000000}" name="link " dataDxfId="26"/>
    <tableColumn id="3" xr3:uid="{00000000-0010-0000-0300-000003000000}" name="year" dataDxfId="25"/>
  </tableColumns>
  <tableStyleInfo name="ASEAN Doc-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FDD2107-DCA0-45C6-A9EC-34B8B1C1149D}" name="Table5" displayName="Table5" ref="A1:E85" totalsRowShown="0" headerRowDxfId="42" dataDxfId="40" headerRowBorderDxfId="41" tableBorderDxfId="39" totalsRowBorderDxfId="38">
  <autoFilter ref="A1:E85" xr:uid="{EFDD2107-DCA0-45C6-A9EC-34B8B1C1149D}"/>
  <sortState xmlns:xlrd2="http://schemas.microsoft.com/office/spreadsheetml/2017/richdata2" ref="A2:E85">
    <sortCondition ref="D1:D85"/>
  </sortState>
  <tableColumns count="5">
    <tableColumn id="5" xr3:uid="{37083B8D-3903-4878-9063-F9F48CDC8914}" name="nr" dataDxfId="37"/>
    <tableColumn id="1" xr3:uid="{61CADF1D-A53D-4290-93F2-F67A7C353A7B}" name="title" dataDxfId="36"/>
    <tableColumn id="2" xr3:uid="{7EEA384F-DAC4-4A93-92F5-B99D66745FDA}" name="link" dataDxfId="35"/>
    <tableColumn id="3" xr3:uid="{C7B9796F-1E46-4955-841C-D055EF268A71}" name="date" dataDxfId="34"/>
    <tableColumn id="4" xr3:uid="{84C99C83-5134-4F38-B250-C810E4CFBB89}" name="text" dataDxfId="33"/>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A41401F-C3D5-4CFE-B791-D44B11CE25E7}" name="Table17" displayName="Table17" ref="A1:R99" totalsRowShown="0">
  <autoFilter ref="A1:R99" xr:uid="{A75F9549-B659-4EA1-A828-521206CBD0AB}"/>
  <sortState xmlns:xlrd2="http://schemas.microsoft.com/office/spreadsheetml/2017/richdata2" ref="A2:R99">
    <sortCondition ref="E1:E99"/>
  </sortState>
  <tableColumns count="18">
    <tableColumn id="1" xr3:uid="{4BF86F36-0AD4-450D-A990-5CF55033C0A6}" name="Authors" dataDxfId="24"/>
    <tableColumn id="2" xr3:uid="{73B573D5-46AE-4597-8AA2-A07283B25840}" name="Author full names" dataDxfId="23"/>
    <tableColumn id="3" xr3:uid="{9FBBF186-C896-4003-A4B2-DE7BF181D67C}" name="Author(s) ID" dataDxfId="22"/>
    <tableColumn id="4" xr3:uid="{A4779DFC-611E-4CCD-822F-73C95F7D66F4}" name="Title" dataDxfId="21"/>
    <tableColumn id="5" xr3:uid="{03E78B6E-4E90-4C36-B87E-920C528EC94A}" name="Year" dataDxfId="20"/>
    <tableColumn id="6" xr3:uid="{AF8C7682-A24A-4AC8-9368-37C67134F007}" name="Source title" dataDxfId="19"/>
    <tableColumn id="7" xr3:uid="{4D9CE9CE-E263-41C6-8831-59378A61477F}" name="Volume" dataDxfId="18"/>
    <tableColumn id="8" xr3:uid="{F8B9A74E-7F6E-4471-B567-2FC649BEF6C9}" name="Issue" dataDxfId="17"/>
    <tableColumn id="9" xr3:uid="{B8992BBD-688E-4D44-8A27-119F8762155C}" name="Art. No." dataDxfId="16"/>
    <tableColumn id="10" xr3:uid="{0941CDD1-9A50-40A0-BDEE-3815FC33BEC5}" name="Page start" dataDxfId="15"/>
    <tableColumn id="11" xr3:uid="{7770DB5D-EBF8-4C0D-B116-815DDC0A43BB}" name="Page end" dataDxfId="14"/>
    <tableColumn id="12" xr3:uid="{6A8FF0F6-1616-4C52-9358-90570FF6F14E}" name="Page count" dataDxfId="13"/>
    <tableColumn id="13" xr3:uid="{66632272-2080-410E-A69C-8D17B8E4824C}" name="Cited by" dataDxfId="12"/>
    <tableColumn id="14" xr3:uid="{91D35153-73C4-4022-A8A7-723AD5481584}" name="DOI" dataDxfId="11"/>
    <tableColumn id="15" xr3:uid="{C3AC23EF-701B-4200-820F-4F79C81F7475}" name="Link" dataDxfId="10"/>
    <tableColumn id="16" xr3:uid="{9414C981-DF3D-46A0-A335-AB048A0DDA7C}" name="Document Type" dataDxfId="9"/>
    <tableColumn id="17" xr3:uid="{D426E249-3743-4364-BD6B-7BBE53788E07}" name="Publication Stage" dataDxfId="8"/>
    <tableColumn id="18" xr3:uid="{00D0DD14-391C-43D0-BC6A-01B943CABB06}" name="Open Access"/>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9491C3D-AAB7-4676-A508-A38F9C69BFD2}">
  <we:reference id="wa200005502" version="1.0.0.12" store="en-US" storeType="OMEX"/>
  <we:alternateReferences>
    <we:reference id="wa200005502" version="1.0.0.12" store="wa200005502" storeType="OMEX"/>
  </we:alternateReferences>
  <we:properties>
    <we:property name="docId" value="&quot;QXmzgYou39GQZypGfL7Z0&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3" Type="http://schemas.openxmlformats.org/officeDocument/2006/relationships/hyperlink" Target="https://www.scmp.com/news/china/diplomacy/article/3105928/south-china-sea-beijing-will-need-more-charm-win-over-asean" TargetMode="External"/><Relationship Id="rId18" Type="http://schemas.openxmlformats.org/officeDocument/2006/relationships/hyperlink" Target="https://www.scmp.com/week-asia/politics/article/3032568/russia-romances-southeast-asia-trade-and-arms-its-no-match-china" TargetMode="External"/><Relationship Id="rId26" Type="http://schemas.openxmlformats.org/officeDocument/2006/relationships/hyperlink" Target="https://www.scmp.com/news/china/diplomacy/article/3215750/south-china-sea-china-pushes-code-conduct-talks-pledges-deeper-malaysia-asean-ties" TargetMode="External"/><Relationship Id="rId3" Type="http://schemas.openxmlformats.org/officeDocument/2006/relationships/hyperlink" Target="https://www.scmp.com/article/982578/wen-keen-mend-fences-asean" TargetMode="External"/><Relationship Id="rId21" Type="http://schemas.openxmlformats.org/officeDocument/2006/relationships/hyperlink" Target="https://www.scmp.com/week-asia/politics/article/3246702/south-china-sea-beijing-asean-claimant-states-risk-pushing-beyond-grey-zone-between-peace-and-war" TargetMode="External"/><Relationship Id="rId34" Type="http://schemas.openxmlformats.org/officeDocument/2006/relationships/hyperlink" Target="https://www.scmp.com/week-asia/politics/article/3224917/will-cambodias-concerns-rocking-china-boat-affect-asean-unity-over-naval-drills" TargetMode="External"/><Relationship Id="rId7" Type="http://schemas.openxmlformats.org/officeDocument/2006/relationships/hyperlink" Target="https://www.scmp.com/news/china/military/article/2169727/china-embarks-first-joint-naval-drills-asean-us-tensions-simmer" TargetMode="External"/><Relationship Id="rId12" Type="http://schemas.openxmlformats.org/officeDocument/2006/relationships/hyperlink" Target="https://www.scmp.com/week-asia/geopolitics/article/3011747/south-china-sea-asean-has-choice-asian-values-or-rule-law" TargetMode="External"/><Relationship Id="rId17" Type="http://schemas.openxmlformats.org/officeDocument/2006/relationships/hyperlink" Target="https://www.scmp.com/week-asia/politics/article/3046622/are-aseans-big-players-about-get-tough-beijings-south-china-sea" TargetMode="External"/><Relationship Id="rId25" Type="http://schemas.openxmlformats.org/officeDocument/2006/relationships/hyperlink" Target="https://www.scmp.com/news/china/diplomacy/article/3245375/beijing-warming-south-china-sea-code-conduct" TargetMode="External"/><Relationship Id="rId33" Type="http://schemas.openxmlformats.org/officeDocument/2006/relationships/hyperlink" Target="https://www.scmp.com/news/china/diplomacy/article/3233624/chinas-li-qiang-urges-asean-japan-and-south-korea-oppose-new-cold-war-amid-growing-us-rivalry" TargetMode="External"/><Relationship Id="rId2" Type="http://schemas.openxmlformats.org/officeDocument/2006/relationships/hyperlink" Target="https://www.scmp.com/news/asia/article/1741450/asean-nations-react-coolly-us-navy-commanders-call-joint-patrols-south" TargetMode="External"/><Relationship Id="rId16" Type="http://schemas.openxmlformats.org/officeDocument/2006/relationships/hyperlink" Target="https://www.scmp.com/week-asia/politics/article/3128986/us-china-rivalry-pressure-asean-countries-choose-sides" TargetMode="External"/><Relationship Id="rId20" Type="http://schemas.openxmlformats.org/officeDocument/2006/relationships/hyperlink" Target="https://www.scmp.com/economy/china-economy/article/3227769/china-eyes-asean-trade-ties-members-fear-geopolitical-trap-us-also-seeks-regional-influence" TargetMode="External"/><Relationship Id="rId29" Type="http://schemas.openxmlformats.org/officeDocument/2006/relationships/hyperlink" Target="https://www.scmp.com/news/asia/southeast-asia/article/3242134/south-china-sea-philippines-asks-malaysia-vietnam-our-own-code-conduct-amid-slow-progress-beijing" TargetMode="External"/><Relationship Id="rId1" Type="http://schemas.openxmlformats.org/officeDocument/2006/relationships/hyperlink" Target="https://webcache.googleusercontent.com/search?q=cache:" TargetMode="External"/><Relationship Id="rId6" Type="http://schemas.openxmlformats.org/officeDocument/2006/relationships/hyperlink" Target="https://www.scmp.com/news/china/diplomacy/article/2173174/south-china-sea-asean-beijing-continue-work-towards-code" TargetMode="External"/><Relationship Id="rId11" Type="http://schemas.openxmlformats.org/officeDocument/2006/relationships/hyperlink" Target="https://www.scmp.com/week-asia/article/2186449/explained-south-china-sea-dispute" TargetMode="External"/><Relationship Id="rId24" Type="http://schemas.openxmlformats.org/officeDocument/2006/relationships/hyperlink" Target="https://www.scmp.com/economy/china-economy/article/3236219/china-pushes-pivot-south-and-southeast-asia-yunnan-province-gateway-vast-market" TargetMode="External"/><Relationship Id="rId32" Type="http://schemas.openxmlformats.org/officeDocument/2006/relationships/hyperlink" Target="https://www.scmp.com/week-asia/politics/article/3243891/japans-bid-elevate-asean-ties-will-offer-region-options-amid-growing-chinese-influence" TargetMode="External"/><Relationship Id="rId5" Type="http://schemas.openxmlformats.org/officeDocument/2006/relationships/hyperlink" Target="https://www.scmp.com/news/world/article/1881342/malaysia-opens-asean-summit-urge-world-leaders-confront-islamist" TargetMode="External"/><Relationship Id="rId15" Type="http://schemas.openxmlformats.org/officeDocument/2006/relationships/hyperlink" Target="https://www.scmp.com/news/china/diplomacy/article/3081275/beijing-could-face-aseans-wrath-over-naming-and-claiming-south" TargetMode="External"/><Relationship Id="rId23" Type="http://schemas.openxmlformats.org/officeDocument/2006/relationships/hyperlink" Target="https://www.scmp.com/news/china/diplomacy/article/3210193/new-chinese-trade-zones-philippines-indonesia-showcase-asean-bridge-and-bond" TargetMode="External"/><Relationship Id="rId28" Type="http://schemas.openxmlformats.org/officeDocument/2006/relationships/hyperlink" Target="https://www.scmp.com/news/asia/southeast-asia/article/3223411/south-china-sea-asean-hold-first-joint-military-drills-amid-rising-china-tensions" TargetMode="External"/><Relationship Id="rId10" Type="http://schemas.openxmlformats.org/officeDocument/2006/relationships/hyperlink" Target="https://www.scmp.com/week-asia/geopolitics/article/2106469/asean-and-china-have-moved-ondidnt-vietnam-get-memo" TargetMode="External"/><Relationship Id="rId19" Type="http://schemas.openxmlformats.org/officeDocument/2006/relationships/hyperlink" Target="https://www.scmp.com/news/china/diplomacy/article/3234839/chinas-li-qiang-vows-practical-cooperation-asean-bid-reassure-region-amid-maritime-disputes-us" TargetMode="External"/><Relationship Id="rId31" Type="http://schemas.openxmlformats.org/officeDocument/2006/relationships/hyperlink" Target="https://www.scmp.com/news/china/diplomacy/article/3234580/asean-will-engage-both-china-and-us-secretary-general-kao-kim-hourn-says-call-dial-down-major-power" TargetMode="External"/><Relationship Id="rId4" Type="http://schemas.openxmlformats.org/officeDocument/2006/relationships/hyperlink" Target="https://www.scmp.com/news/china/article/1324370/xi-jinping-holds-malaysia-talks-regional-charm-offensive" TargetMode="External"/><Relationship Id="rId9" Type="http://schemas.openxmlformats.org/officeDocument/2006/relationships/hyperlink" Target="https://www.scmp.com/news/china/diplomacy/article/2169002/south-china-sea-beijings-top-foreign-policy-priority-us-think" TargetMode="External"/><Relationship Id="rId14" Type="http://schemas.openxmlformats.org/officeDocument/2006/relationships/hyperlink" Target="https://www.scmp.com/news/china/diplomacy/article/3143742/beijing-and-aseans-long-awaited-south-china-sea-code-conduct" TargetMode="External"/><Relationship Id="rId22" Type="http://schemas.openxmlformats.org/officeDocument/2006/relationships/hyperlink" Target="https://www.scmp.com/economy/china-economy/article/3228524/china-widen-asean-trade-first-major-waterway-700-years-will-pinglu-canal-be-game-changer-or-white" TargetMode="External"/><Relationship Id="rId27" Type="http://schemas.openxmlformats.org/officeDocument/2006/relationships/hyperlink" Target="https://www.scmp.com/news/asia/east-asia/article/3245319/japan-asean-summit-advance-security-cooperation-amid-growing-south-china-sea-tension" TargetMode="External"/><Relationship Id="rId30" Type="http://schemas.openxmlformats.org/officeDocument/2006/relationships/hyperlink" Target="https://www.scmp.com/economy/china-economy/article/3242984/south-china-sea-openness-encouraged-shore-marine-economy-after-disputes-threaten-capsize-relations" TargetMode="External"/><Relationship Id="rId35" Type="http://schemas.openxmlformats.org/officeDocument/2006/relationships/table" Target="../tables/table1.xml"/><Relationship Id="rId8" Type="http://schemas.openxmlformats.org/officeDocument/2006/relationships/hyperlink" Target="https://www.scmp.com/news/china/diplomacy/article/2169715/us-led-quad-coalition-useful-anti-china-bulwark-asia"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asia.nikkei.com/Economy/Southeast-Asian-ports-thirst-for-more-seaborne-trade" TargetMode="External"/><Relationship Id="rId18" Type="http://schemas.openxmlformats.org/officeDocument/2006/relationships/hyperlink" Target="https://asia.nikkei.com/Politics/International-relations/East-Asia-Summit-statement-seeks-to-balance-US-and-China" TargetMode="External"/><Relationship Id="rId26" Type="http://schemas.openxmlformats.org/officeDocument/2006/relationships/hyperlink" Target="https://asia.nikkei.com/Politics/International-relations/China-s-ASEAN-diplomacy-pushes-back-against-US-encirclement" TargetMode="External"/><Relationship Id="rId39" Type="http://schemas.openxmlformats.org/officeDocument/2006/relationships/hyperlink" Target="https://asia.nikkei.com/Politics/International-relations/Blinken-says-U.S.-still-committed-to-freedom-in-South-China-Sea" TargetMode="External"/><Relationship Id="rId21" Type="http://schemas.openxmlformats.org/officeDocument/2006/relationships/hyperlink" Target="https://asia.nikkei.com/Politics/International-relations/China-tightens-ASEAN-grip-while-US-looks-inward2" TargetMode="External"/><Relationship Id="rId34" Type="http://schemas.openxmlformats.org/officeDocument/2006/relationships/hyperlink" Target="https://asia.nikkei.com/Politics/International-relations/US-China-tensions/China-deepens-ties-with-ASEAN-as-Biden-skips-Jakarta-summits" TargetMode="External"/><Relationship Id="rId42" Type="http://schemas.openxmlformats.org/officeDocument/2006/relationships/hyperlink" Target="https://asia.nikkei.com/Politics/International-relations/South-China-Sea/South-China-Sea-brims-with-rare-earth-and-renewable-power-promise" TargetMode="External"/><Relationship Id="rId7" Type="http://schemas.openxmlformats.org/officeDocument/2006/relationships/hyperlink" Target="https://asia.nikkei.com/NAR/Articles/Sri-Lanka-more-prepared-a-decade-after-devastation" TargetMode="External"/><Relationship Id="rId2" Type="http://schemas.openxmlformats.org/officeDocument/2006/relationships/hyperlink" Target="https://asia.nikkei.com/Politics/Look-of-new-Asian-order-still-anyone-s-guess-says-ex-diplomat" TargetMode="External"/><Relationship Id="rId16" Type="http://schemas.openxmlformats.org/officeDocument/2006/relationships/hyperlink" Target="https://asia.nikkei.com/Economy/Moe-Thuzar-To-remain-relevant-ASEAN-needs-a-stronger-nerve-center" TargetMode="External"/><Relationship Id="rId20" Type="http://schemas.openxmlformats.org/officeDocument/2006/relationships/hyperlink" Target="https://asia.nikkei.com/Politics/International-relations/South-China-Sea/Vietnam-stresses-South-China-Sea-security-issues-at-ASEAN-meeting" TargetMode="External"/><Relationship Id="rId29" Type="http://schemas.openxmlformats.org/officeDocument/2006/relationships/hyperlink" Target="https://asia.nikkei.com/Spotlight/Asia-Insight/Philippines-Marcos-muscles-up-ASEAN-s-South-China-Sea-posture" TargetMode="External"/><Relationship Id="rId41" Type="http://schemas.openxmlformats.org/officeDocument/2006/relationships/hyperlink" Target="https://asia.nikkei.com/Spotlight/The-Big-Story/China-s-grip-on-Southeast-Asia-tightens-as-U.S.-influence-wanes" TargetMode="External"/><Relationship Id="rId1" Type="http://schemas.openxmlformats.org/officeDocument/2006/relationships/hyperlink" Target="https://asia.nikkei.com/Economy/TPP-vital-not-just-economically-but-strategically-Lee-Hsien-Loong" TargetMode="External"/><Relationship Id="rId6" Type="http://schemas.openxmlformats.org/officeDocument/2006/relationships/hyperlink" Target="https://asia.nikkei.com/NAR/Articles/Aviation-tycoon-Susi-makes-a-splash-in-maritime-affairs" TargetMode="External"/><Relationship Id="rId11" Type="http://schemas.openxmlformats.org/officeDocument/2006/relationships/hyperlink" Target="https://asia.nikkei.com/Spotlight/The-Big-Story/How-Beijing-is-winning-control-of-the-South-China-Sea" TargetMode="External"/><Relationship Id="rId24" Type="http://schemas.openxmlformats.org/officeDocument/2006/relationships/hyperlink" Target="https://asia.nikkei.com/Spotlight/Asia-Insight/ASEAN-defends-its-Indo-Pacific-centrality-between-Quad-and-China" TargetMode="External"/><Relationship Id="rId32" Type="http://schemas.openxmlformats.org/officeDocument/2006/relationships/hyperlink" Target="https://asia.nikkei.com/Economy/Trade/China-vows-to-boost-Southeast-Asia-imports-as-growth-slows" TargetMode="External"/><Relationship Id="rId37" Type="http://schemas.openxmlformats.org/officeDocument/2006/relationships/hyperlink" Target="https://asia.nikkei.com/Politics/International-relations/South-China-Sea/Vietnam-said-to-plan-military-buildup-on-South-China-Sea-footholds" TargetMode="External"/><Relationship Id="rId40" Type="http://schemas.openxmlformats.org/officeDocument/2006/relationships/hyperlink" Target="https://asia.nikkei.com/Economy/Trade/China-s-durian-boom-sparks-ASEAN-alarm-over-mega-trade-deal" TargetMode="External"/><Relationship Id="rId5" Type="http://schemas.openxmlformats.org/officeDocument/2006/relationships/hyperlink" Target="https://asia.nikkei.com/Politics/Former-foes-US-Vietnam-move-closer-on-defense" TargetMode="External"/><Relationship Id="rId15" Type="http://schemas.openxmlformats.org/officeDocument/2006/relationships/hyperlink" Target="https://asia.nikkei.com/Politics/International-relations/Abe-softens-tone-on-Indo-Pacific-to-coax-China-s-ASEAN-friends" TargetMode="External"/><Relationship Id="rId23" Type="http://schemas.openxmlformats.org/officeDocument/2006/relationships/hyperlink" Target="https://asia.nikkei.com/Politics/International-relations/Beijing-friendly-Cambodia-and-Laos-pushed-out-to-ASEAN-s-fringe2" TargetMode="External"/><Relationship Id="rId28" Type="http://schemas.openxmlformats.org/officeDocument/2006/relationships/hyperlink" Target="https://asia.nikkei.com/Politics/International-relations/South-China-Sea/ASEAN-and-China-aim-for-South-China-Sea-hotline-trial-in-2023" TargetMode="External"/><Relationship Id="rId36" Type="http://schemas.openxmlformats.org/officeDocument/2006/relationships/hyperlink" Target="https://asia.nikkei.com/Spotlight/Asia-Insight/China-s-massive-new-canal-aims-for-closer-ASEAN-connectivity" TargetMode="External"/><Relationship Id="rId10" Type="http://schemas.openxmlformats.org/officeDocument/2006/relationships/hyperlink" Target="https://asia.nikkei.com/Politics/Vietnam-and-Russia-expand-joint-South-China-Sea-gas-projects" TargetMode="External"/><Relationship Id="rId19" Type="http://schemas.openxmlformats.org/officeDocument/2006/relationships/hyperlink" Target="https://asia.nikkei.com/Politics/International-relations/Xi-courts-ASEAN-at-summit-as-Duterte-hits-out-over-South-China-Sea" TargetMode="External"/><Relationship Id="rId31" Type="http://schemas.openxmlformats.org/officeDocument/2006/relationships/hyperlink" Target="https://asia.nikkei.com/Politics/International-relations/South-China-Sea/ASEAN-led-defense-talks-reaffirm-norms-for-South-China-Sea" TargetMode="External"/><Relationship Id="rId4" Type="http://schemas.openxmlformats.org/officeDocument/2006/relationships/hyperlink" Target="https://asia.nikkei.com/Politics/Calls-for-Kra-Isthmus-shortcut-grow-in-Thailand" TargetMode="External"/><Relationship Id="rId9" Type="http://schemas.openxmlformats.org/officeDocument/2006/relationships/hyperlink" Target="https://asia.nikkei.com/Spotlight/Asean-at-50/To-survive-another-50-years-ASEAN-must-learn-from-its-past2" TargetMode="External"/><Relationship Id="rId14" Type="http://schemas.openxmlformats.org/officeDocument/2006/relationships/hyperlink" Target="https://asia.nikkei.com/Economy/ASEAN-is-coming-together-slowly" TargetMode="External"/><Relationship Id="rId22" Type="http://schemas.openxmlformats.org/officeDocument/2006/relationships/hyperlink" Target="https://asia.nikkei.com/Politics/International-relations/7-of-10-ASEAN-members-favor-China-over-US-survey" TargetMode="External"/><Relationship Id="rId27" Type="http://schemas.openxmlformats.org/officeDocument/2006/relationships/hyperlink" Target="https://asia.nikkei.com/Politics/International-relations/Japan-promises-to-diversify-supply-chains-across-ASEAN" TargetMode="External"/><Relationship Id="rId30" Type="http://schemas.openxmlformats.org/officeDocument/2006/relationships/hyperlink" Target="https://asia.nikkei.com/Politics/International-relations/South-China-Sea/ASEAN-leaders-meet-Chinese-Premier-Li-amid-map-controversy" TargetMode="External"/><Relationship Id="rId35" Type="http://schemas.openxmlformats.org/officeDocument/2006/relationships/hyperlink" Target="https://asia.nikkei.com/Politics/International-relations/ASEAN-urges-cool-heads-on-South-China-Sea-as-summit-ends" TargetMode="External"/><Relationship Id="rId43" Type="http://schemas.openxmlformats.org/officeDocument/2006/relationships/table" Target="../tables/table2.xml"/><Relationship Id="rId8" Type="http://schemas.openxmlformats.org/officeDocument/2006/relationships/hyperlink" Target="https://asia.nikkei.com/Business/Japanese-pioneer-develops-unagi-empire-in-Indonesia" TargetMode="External"/><Relationship Id="rId3" Type="http://schemas.openxmlformats.org/officeDocument/2006/relationships/hyperlink" Target="https://asia.nikkei.com/Politics/Amid-Cambodia-Vietnam-border-tensions-a-special-relationship-evolves" TargetMode="External"/><Relationship Id="rId12" Type="http://schemas.openxmlformats.org/officeDocument/2006/relationships/hyperlink" Target="https://asia.nikkei.com/Politics/ASEAN-way-confronts-new-realities-of-US-Chinese-power" TargetMode="External"/><Relationship Id="rId17" Type="http://schemas.openxmlformats.org/officeDocument/2006/relationships/hyperlink" Target="https://asia.nikkei.com/Economy/Singapore-walks-a-tightrope-between-China-US" TargetMode="External"/><Relationship Id="rId25" Type="http://schemas.openxmlformats.org/officeDocument/2006/relationships/hyperlink" Target="https://asia.nikkei.com/Spotlight/Belt-and-Road/China-promises-to-raise-imports-from-ASEAN-ahead-of-new-rail-link" TargetMode="External"/><Relationship Id="rId33" Type="http://schemas.openxmlformats.org/officeDocument/2006/relationships/hyperlink" Target="https://asia.nikkei.com/Spotlight/Belt-and-Road/ASEAN-to-stay-priority-for-China-s-BRI-investment-despite-slowdown" TargetMode="External"/><Relationship Id="rId38" Type="http://schemas.openxmlformats.org/officeDocument/2006/relationships/hyperlink" Target="https://asia.nikkei.com/Business/Business-trends/ASEAN-courts-Africa-amid-China-slowdown-business-council-chief2"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straitstimes.com/asia/east-asia/what-you-need-to-know-about-south-china-sea-disputes" TargetMode="External"/><Relationship Id="rId18" Type="http://schemas.openxmlformats.org/officeDocument/2006/relationships/hyperlink" Target="https://www.straitstimes.com/world/united-states/concerned-about-chinas-influence-congressional-asean-group-wants-deeper-us-asean" TargetMode="External"/><Relationship Id="rId26" Type="http://schemas.openxmlformats.org/officeDocument/2006/relationships/hyperlink" Target="https://www.straitstimes.com/singapore/shangri-la-dialogue-chinese-defence-minister-wei-fenghe-says-china-ready-to-fight-us-on" TargetMode="External"/><Relationship Id="rId39" Type="http://schemas.openxmlformats.org/officeDocument/2006/relationships/hyperlink" Target="https://www.straitstimes.com/asia/east-asia/asean-must-remain-united-in-face-of-competition-among-great-powers-ntu-don" TargetMode="External"/><Relationship Id="rId21" Type="http://schemas.openxmlformats.org/officeDocument/2006/relationships/hyperlink" Target="https://www.straitstimes.com/politics/asean-must-find-right-balance-to-weather-grave-period-in-world-history-vivian-balakrishnan" TargetMode="External"/><Relationship Id="rId34" Type="http://schemas.openxmlformats.org/officeDocument/2006/relationships/hyperlink" Target="https://www.straitstimes.com/multimedia/graphics/2022/05/china-us-influence-asean-southeast-asia/index.html?shell" TargetMode="External"/><Relationship Id="rId42" Type="http://schemas.openxmlformats.org/officeDocument/2006/relationships/table" Target="../tables/table3.xml"/><Relationship Id="rId7" Type="http://schemas.openxmlformats.org/officeDocument/2006/relationships/hyperlink" Target="https://graphics.straitstimes.com/STI/STIMEDIA/ebooks/LKY_The_Man_And_His_Ideas.pdf" TargetMode="External"/><Relationship Id="rId2" Type="http://schemas.openxmlformats.org/officeDocument/2006/relationships/hyperlink" Target="https://www.straitstimes.com/asia/se-asia?query=economy&amp;page=124" TargetMode="External"/><Relationship Id="rId16" Type="http://schemas.openxmlformats.org/officeDocument/2006/relationships/hyperlink" Target="https://www.straitstimes.com/asia/se-asia/countries-should-not-underestimate-legality-of-beijings-south-china-sea-arguments" TargetMode="External"/><Relationship Id="rId20" Type="http://schemas.openxmlformats.org/officeDocument/2006/relationships/hyperlink" Target="https://www.straitstimes.com/singapore/china-general-he-lei-slams-irresponsible-comments-on-south-china-sea" TargetMode="External"/><Relationship Id="rId29" Type="http://schemas.openxmlformats.org/officeDocument/2006/relationships/hyperlink" Target="https://www.straitstimes.com/asia/asean-at-a-crossroads-jakarta-post-contributor" TargetMode="External"/><Relationship Id="rId41" Type="http://schemas.openxmlformats.org/officeDocument/2006/relationships/hyperlink" Target="https://www.straitstimes.com/asia/se-asia/asean-leaders-to-meet-in-jakarta-for-regional-summit-amid-tensions-over-new-chinese-map" TargetMode="External"/><Relationship Id="rId1" Type="http://schemas.openxmlformats.org/officeDocument/2006/relationships/hyperlink" Target="https://www.straitstimes.com/singapore/freedom-of-navigation-key-to-spore-shanmugam" TargetMode="External"/><Relationship Id="rId6" Type="http://schemas.openxmlformats.org/officeDocument/2006/relationships/hyperlink" Target="https://www.straitstimes.com/tags/philippines?ref=article-bottom&amp;page=44" TargetMode="External"/><Relationship Id="rId11" Type="http://schemas.openxmlformats.org/officeDocument/2006/relationships/hyperlink" Target="https://www.straitstimes.com/asia/se-asia/hishammuddin-keeps-an-eye-on-the-big-picture-the-star" TargetMode="External"/><Relationship Id="rId24" Type="http://schemas.openxmlformats.org/officeDocument/2006/relationships/hyperlink" Target="https://www.straitstimes.com/business/guangxi-to-strengthen-economic-cooperation-with-asean-and-singapore-businesses" TargetMode="External"/><Relationship Id="rId32" Type="http://schemas.openxmlformats.org/officeDocument/2006/relationships/hyperlink" Target="https://www.straitstimes.com/singapore/ask-to-what-end-europe-should-impose-its-value-systems-on-asia-says-ng-eng-hen-in-urging" TargetMode="External"/><Relationship Id="rId37" Type="http://schemas.openxmlformats.org/officeDocument/2006/relationships/hyperlink" Target="https://www.straitstimes.com/asia/se-asia/asean-concerned-over-us-china-relationship-as-tensions-could-stoke-flashpoints-pm-lee" TargetMode="External"/><Relationship Id="rId40" Type="http://schemas.openxmlformats.org/officeDocument/2006/relationships/hyperlink" Target="https://www.straitstimes.com/asia/se-asia/asean-has-made-progress-on-its-long-term-goals-and-areas-of-cooperation-says-pm-lee" TargetMode="External"/><Relationship Id="rId5" Type="http://schemas.openxmlformats.org/officeDocument/2006/relationships/hyperlink" Target="https://www.straitstimes.com/asia/australianz?_nei=2f64b303-c4c0-49bc-a3ac-383794af08ef&amp;page=29" TargetMode="External"/><Relationship Id="rId15" Type="http://schemas.openxmlformats.org/officeDocument/2006/relationships/hyperlink" Target="https://www.straitstimes.com/asia/leaders-of-asean-china-japan-and-south-korea-call-for-closer-economic-integration" TargetMode="External"/><Relationship Id="rId23" Type="http://schemas.openxmlformats.org/officeDocument/2006/relationships/hyperlink" Target="https://www.straitstimes.com/asia/east-asia/china-will-not-bully-smaller-countries-xi-tells-asean-leaders" TargetMode="External"/><Relationship Id="rId28" Type="http://schemas.openxmlformats.org/officeDocument/2006/relationships/hyperlink" Target="https://www.straitstimes.com/singapore/british-carrier-strike-group-conducts-passage-exercise-with-singapore-navy" TargetMode="External"/><Relationship Id="rId36" Type="http://schemas.openxmlformats.org/officeDocument/2006/relationships/hyperlink" Target="https://www.straitstimes.com/asia/se-asia/china-s-premier-urges-asean-to-oppose-new-cold-war-us-v-p-pledges-enduring-commitment-to-region" TargetMode="External"/><Relationship Id="rId10" Type="http://schemas.openxmlformats.org/officeDocument/2006/relationships/hyperlink" Target="https://graphics.straitstimes.com/STI/STIMEDIA/ebooks/Historic_Gardens.pdf" TargetMode="External"/><Relationship Id="rId19" Type="http://schemas.openxmlformats.org/officeDocument/2006/relationships/hyperlink" Target="https://tnp.straitstimes.com/news/world/safe-passage-all-s-china-sea-china" TargetMode="External"/><Relationship Id="rId31" Type="http://schemas.openxmlformats.org/officeDocument/2006/relationships/hyperlink" Target="https://www.straitstimes.com/asia/se-asia/us-weapons-sales-to-thailand-have-a-new-competitor-china" TargetMode="External"/><Relationship Id="rId4" Type="http://schemas.openxmlformats.org/officeDocument/2006/relationships/hyperlink" Target="https://www.straitstimes.com/singapore/slower-pace-of-life-comes-with-trade-off-says-shanmugam" TargetMode="External"/><Relationship Id="rId9" Type="http://schemas.openxmlformats.org/officeDocument/2006/relationships/hyperlink" Target="https://graphics.straitstimes.com/STI/STIMEDIA/2015/lky-8day-coverage/docs/29.pdf" TargetMode="External"/><Relationship Id="rId14" Type="http://schemas.openxmlformats.org/officeDocument/2006/relationships/hyperlink" Target="https://www.straitstimes.com/singapore/asean-will-not-be-put-in-position-to-pick-between-world-powers-ng-eng-hen" TargetMode="External"/><Relationship Id="rId22" Type="http://schemas.openxmlformats.org/officeDocument/2006/relationships/hyperlink" Target="https://www.straitstimes.com/asia/se-asia/asean-summit-trump-breaks-the-link-as-handshake-photo-op-goes-awry" TargetMode="External"/><Relationship Id="rId27" Type="http://schemas.openxmlformats.org/officeDocument/2006/relationships/hyperlink" Target="https://www.straitstimes.com/singapore/politics/retired-singapore-diplomat-dismisses-claims-by-cambodia-of-being-agent-to-foreign" TargetMode="External"/><Relationship Id="rId30" Type="http://schemas.openxmlformats.org/officeDocument/2006/relationships/hyperlink" Target="https://www.straitstimes.com/asia/trump-v-biden-whos-better-for-asia" TargetMode="External"/><Relationship Id="rId35" Type="http://schemas.openxmlformats.org/officeDocument/2006/relationships/hyperlink" Target="https://www.straitstimes.com/asia/east-asia/malaysia-china-to-have-open-communication-over-south-china-sea-issue-anwar" TargetMode="External"/><Relationship Id="rId8" Type="http://schemas.openxmlformats.org/officeDocument/2006/relationships/hyperlink" Target="https://graphics.straitstimes.com/STI/STIMEDIA/ebooks/HomeSG50.pdf" TargetMode="External"/><Relationship Id="rId3" Type="http://schemas.openxmlformats.org/officeDocument/2006/relationships/hyperlink" Target="https://www.straitstimes.com/asia/east-asia/president-tony-tan-keng-yam-meets-top-chinese-leaders-during-state-visit" TargetMode="External"/><Relationship Id="rId12" Type="http://schemas.openxmlformats.org/officeDocument/2006/relationships/hyperlink" Target="https://graphics.straitstimes.com/STI/STIMEDIA/2015/lky-8day-coverage/docs/24.pdf" TargetMode="External"/><Relationship Id="rId17" Type="http://schemas.openxmlformats.org/officeDocument/2006/relationships/hyperlink" Target="https://www.straitstimes.com/asia/east-asia/china-asean-kick-off-inaugural-maritime-field-training-exercise-in-zhanjiang" TargetMode="External"/><Relationship Id="rId25" Type="http://schemas.openxmlformats.org/officeDocument/2006/relationships/hyperlink" Target="https://www.straitstimes.com/asia/se-asia/chinese-ships-intruded-into-malaysian-waters-89-times-in-four-years-report" TargetMode="External"/><Relationship Id="rId33" Type="http://schemas.openxmlformats.org/officeDocument/2006/relationships/hyperlink" Target="https://www.straitstimes.com/asia/se-asia/china-and-asean-agree-on-guidelines-to-expedite-south-china-sea-negotiations" TargetMode="External"/><Relationship Id="rId38" Type="http://schemas.openxmlformats.org/officeDocument/2006/relationships/hyperlink" Target="https://www.straitstimes.com/asia/asean-and-us-elevate-ties-to-a-comprehensive-strategic-partnership"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asean.org/wp-content/uploads/images/2015/November/27th-summit/ASEAN-China%20POA%20%202016-2020.pdf" TargetMode="External"/><Relationship Id="rId18" Type="http://schemas.openxmlformats.org/officeDocument/2006/relationships/hyperlink" Target="https://asean.org/wp-content/uploads/2024/07/FIN_ASEAN-Annual-Report-2023-June-December-Epub.pdf" TargetMode="External"/><Relationship Id="rId26" Type="http://schemas.openxmlformats.org/officeDocument/2006/relationships/hyperlink" Target="https://asean.org/wp-content/uploads/2019/07/APSC-Outlook-Vol-1-2019-No-1.pdf" TargetMode="External"/><Relationship Id="rId3" Type="http://schemas.openxmlformats.org/officeDocument/2006/relationships/hyperlink" Target="https://www.google.com/search?q=trade+%22south+china+sea%22+%22asean-china%22+site:asean.org+filetype:pdf&amp;lr=&amp;sca_esv=197713b87bf2beb1&amp;as_qdr=all&amp;tbs=cdr:1,cd_min:2010&amp;sxsrf=ADLYWIKrgU014B0TI23MmEboPcpTjmR7qQ:1725298824489&amp;ei=iPjVZtrYFL2B9u8P6-P12QE&amp;start=20&amp;sa=N&amp;sstk=AagrsujQN7-Ig6EUnNvFj3iypK-sZ9qu49vTQDeo2Row6tAUZshrmyUfmifFQ_7SlSP08PjPndtDWwkB3If-MuErcW5BZPJVdPrh46rotP38Mu0RX6ywK7l2SGVesTWsnwIa&amp;ved=2ahUKEwjavLn85qSIAxW9gP0HHetxPRs4ChDy0wN6BAgPEAc&amp;biw=1366&amp;bih=589&amp;dpr=1" TargetMode="External"/><Relationship Id="rId21" Type="http://schemas.openxmlformats.org/officeDocument/2006/relationships/hyperlink" Target="https://asean.org/wp-content/uploads/2023/09/FINAL-Chairmans-Statement-of-the-26th-ASEAN-Plus-Three-Summit.pdf" TargetMode="External"/><Relationship Id="rId7" Type="http://schemas.openxmlformats.org/officeDocument/2006/relationships/hyperlink" Target="https://asean.org/wp-content/uploads/2024/06/Remarks-by-SG-Dr.-Kao-at-ASEAN-China-Future-Relations-Forum_As-Delivered.pdf" TargetMode="External"/><Relationship Id="rId12" Type="http://schemas.openxmlformats.org/officeDocument/2006/relationships/hyperlink" Target="https://asean.org/wp-content/uploads/2017/11/FINAL-Chairmans-Statement-of-the-20th-ASEAN-China-Summit-13-Nov-2017-Manila1.pdf" TargetMode="External"/><Relationship Id="rId17" Type="http://schemas.openxmlformats.org/officeDocument/2006/relationships/hyperlink" Target="https://asean.org/wp-content/uploads/2016/07/ASEAN-Secretary-Generals-Congratulatory-Letter-to-FM-of-China.pdf" TargetMode="External"/><Relationship Id="rId25" Type="http://schemas.openxmlformats.org/officeDocument/2006/relationships/hyperlink" Target="https://asean.org/wp-content/uploads/2022/08/LAYOUT-ANNUAL-REPORT-2021-2022-11-28-spread_compressed.pdf" TargetMode="External"/><Relationship Id="rId33" Type="http://schemas.openxmlformats.org/officeDocument/2006/relationships/hyperlink" Target="https://asean.org/wp-content/uploads/2021/03/1_ASEAN-Chairmans-Statement_PMC1-Sessions_Final.pdf" TargetMode="External"/><Relationship Id="rId2" Type="http://schemas.openxmlformats.org/officeDocument/2006/relationships/hyperlink" Target="https://www.google.com/search?q=trade+%22south+china+sea%22+%22asean-china%22+site:asean.org+filetype:pdf&amp;lr=&amp;sca_esv=197713b87bf2beb1&amp;as_qdr=all&amp;tbs=cdr:1,cd_min:2010&amp;sxsrf=ADLYWIK1o81ZqHiTtrsTnCsraEeo_1xxaA:1725298749102&amp;ei=PfjVZr3uBbXm7_UPyL6B0Ak&amp;start=10&amp;sa=N&amp;sstk=AagrsugcLtyG7TDt7KVpiW2_jnEwRM6YEEHJ0SFMJigP6KhaH5Uulhl2CB_ZU04xulwkDWs0-zgS7BKFVGMJpab_safyBOGCG3A7PA&amp;ved=2ahUKEwj9gMnY5qSIAxU187sIHUhfAJoQ8tMDegQICxAE&amp;biw=1366&amp;bih=589&amp;dpr=1" TargetMode="External"/><Relationship Id="rId16" Type="http://schemas.openxmlformats.org/officeDocument/2006/relationships/hyperlink" Target="https://aseanregionalforum.asean.org/wp-content/uploads/2024/01/ASEAN-REGIONAL-FORUM-ANNUAL-SECURITY-OUTLOOK-2023-final-ver.pdf" TargetMode="External"/><Relationship Id="rId20" Type="http://schemas.openxmlformats.org/officeDocument/2006/relationships/hyperlink" Target="https://asean.org/wp-content/uploads/2023/07/NEW-FINAL-ASEAN-Annual-Report-2022-2023.pdf" TargetMode="External"/><Relationship Id="rId29" Type="http://schemas.openxmlformats.org/officeDocument/2006/relationships/hyperlink" Target="https://asean.org/wp-content/uploads/2023/07/NEW-FINAL-ASEAN-Annual-Report-2022-2023.pdf" TargetMode="External"/><Relationship Id="rId1" Type="http://schemas.openxmlformats.org/officeDocument/2006/relationships/hyperlink" Target="https://www.google.com/search?q=trade+%22south+china+sea%22+%22asean-china%22+site%3Aasean.org+filetype%3Apdf&amp;lr=&amp;sca_esv=197713b87bf2beb1&amp;as_qdr=all&amp;tbs=cdr%3A1%2Ccd_min%3A2010&amp;sxsrf=ADLYWILF3NZSWH-Ia1lRtkzxcsPRDwYOEg%3A1725298672038&amp;ei=8PfVZr_9Aa6J9u8Pha_ZmA0&amp;ved=0ahUKEwi_temz5qSIAxWuhP0HHYVXFtMQ4dUDCBA&amp;uact=5&amp;oq=trade+%22south+china+sea%22+%22asean-china%22+site%3Aasean.org+filetype%3Apdf&amp;gs_lp=Egxnd3Mtd2l6LXNlcnAiQXRyYWRlICJzb3V0aCBjaGluYSBzZWEiICJhc2Vhbi1jaGluYSIgc2l0ZTphc2Vhbi5vcmcgZmlsZXR5cGU6cGRmSMHDA1D5jANYrL0DcAN4AJABAJgBsAGgAdIFqgEDMC41uAEDyAEA-AEBmAIAoAIAmAMAiAYBkgcAoAfhAQ&amp;sclient=gws-wiz-serp" TargetMode="External"/><Relationship Id="rId6" Type="http://schemas.openxmlformats.org/officeDocument/2006/relationships/hyperlink" Target="https://asean.org/wp-content/uploads/2022/11/2.-Final-CS-25th-ASEAN-China-Summit-1.pdf" TargetMode="External"/><Relationship Id="rId11" Type="http://schemas.openxmlformats.org/officeDocument/2006/relationships/hyperlink" Target="https://asean.org/wp-content/uploads/2018/11/ASEAN-China-Strategic-Partnership-Vision-2030.pdf" TargetMode="External"/><Relationship Id="rId24" Type="http://schemas.openxmlformats.org/officeDocument/2006/relationships/hyperlink" Target="https://asean.org/wp-content/uploads/2024/07/The-Final-Chairmans-Statement-of-The-ASEAN-Post-Ministerial-Conference-PMC-101-with-Dialogue-Partners-and-Trilateral-Meetings.pdf" TargetMode="External"/><Relationship Id="rId32" Type="http://schemas.openxmlformats.org/officeDocument/2006/relationships/hyperlink" Target="https://eastasiasummit.asean.org/storage/chairmans_statements_file/R2bmtIeorSJodF6HksFeYSnFj95rVHPr5P2JyzTH.pdf" TargetMode="External"/><Relationship Id="rId5" Type="http://schemas.openxmlformats.org/officeDocument/2006/relationships/hyperlink" Target="https://asean.org/wp-content/uploads/2024/06/Overview-of-ASEAN-China-CSP-12-June-2024.pdf" TargetMode="External"/><Relationship Id="rId15" Type="http://schemas.openxmlformats.org/officeDocument/2006/relationships/hyperlink" Target="https://asean.org/wp-content/uploads/2021/09/CH-CS.pdf" TargetMode="External"/><Relationship Id="rId23" Type="http://schemas.openxmlformats.org/officeDocument/2006/relationships/hyperlink" Target="https://asean.org/wp-content/uploads/2021/10/ASEAN-Security-Outlook-ASO-2021.pdf" TargetMode="External"/><Relationship Id="rId28" Type="http://schemas.openxmlformats.org/officeDocument/2006/relationships/hyperlink" Target="https://asean.org/wp-content/uploads/2022/08/Final_Chairmans_Statement_of_PMC_101_Sessions_with_DPs__Trilateral-Meetings.pdf" TargetMode="External"/><Relationship Id="rId10" Type="http://schemas.openxmlformats.org/officeDocument/2006/relationships/hyperlink" Target="https://asean.org/wp-content/uploads/2023/08/AMO-1.pdf" TargetMode="External"/><Relationship Id="rId19" Type="http://schemas.openxmlformats.org/officeDocument/2006/relationships/hyperlink" Target="https://www.asean.org/wp-content/uploads/2015/12/Chairmans-Statement-of-the-18th-ASEAN-China-Summit-Final.pdf" TargetMode="External"/><Relationship Id="rId31" Type="http://schemas.openxmlformats.org/officeDocument/2006/relationships/hyperlink" Target="https://asean.org/wp-content/uploads/2024/07/Final-Joint-Communique-of-the-57th-AMM.pdf" TargetMode="External"/><Relationship Id="rId4" Type="http://schemas.openxmlformats.org/officeDocument/2006/relationships/hyperlink" Target="https://asean.org/wp-content/uploads/2023/09/FINAL-Chairmans-Statement-of-the-26th-ASEAN-China-Summit.pdf" TargetMode="External"/><Relationship Id="rId9" Type="http://schemas.openxmlformats.org/officeDocument/2006/relationships/hyperlink" Target="https://asean.org/wp-content/uploads/2021/11/Joint-Statement-30th-Anniversary-of-ASEAN-China-Dialogue-Relations-Final.pdf" TargetMode="External"/><Relationship Id="rId14" Type="http://schemas.openxmlformats.org/officeDocument/2006/relationships/hyperlink" Target="https://www.asean.org/wp-content/uploads/images/Chairmans_statement_of_17th_ASEAN-China_Summit.pdf" TargetMode="External"/><Relationship Id="rId22" Type="http://schemas.openxmlformats.org/officeDocument/2006/relationships/hyperlink" Target="https://asean.org/wp-content/uploads/2024/07/Final-Joint-Communique-of-the-57th-AMM.pdf" TargetMode="External"/><Relationship Id="rId27" Type="http://schemas.openxmlformats.org/officeDocument/2006/relationships/hyperlink" Target="https://asean.org/wp-content/uploads/2023/07/The-56th-AMM-Joint-Communique.pdf" TargetMode="External"/><Relationship Id="rId30" Type="http://schemas.openxmlformats.org/officeDocument/2006/relationships/hyperlink" Target="https://asean.org/wp-content/uploads/images/2013/news/joint%20communique%20of%20the%2046th%20asean%20foreign%20ministers%20meeting%2046th%20amm%20-%20final%20-%2030%20june%202013.pdf" TargetMode="External"/><Relationship Id="rId8" Type="http://schemas.openxmlformats.org/officeDocument/2006/relationships/hyperlink" Target="https://asean.org/wp-content/uploads/2022/08/ASEAN-China-POA-2021-2025_Updated-with-ANNEX.pdf"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openxmlformats.org/officeDocument/2006/relationships/hyperlink" Target="https://asean.org/wp-content/uploads/2022/09/11.-November-2014-ASEAN-Documents-Series-2013.pdf" TargetMode="External"/><Relationship Id="rId13" Type="http://schemas.openxmlformats.org/officeDocument/2006/relationships/hyperlink" Target="https://asean.org/wp-content/uploads/2016/10/ASEAN-Documents-Series-2015.pdf" TargetMode="External"/><Relationship Id="rId18" Type="http://schemas.openxmlformats.org/officeDocument/2006/relationships/hyperlink" Target="https://asean.org/wp-content/uploads/2024/02/ASEAN-Documents-Series-2016.pdf" TargetMode="External"/><Relationship Id="rId26" Type="http://schemas.openxmlformats.org/officeDocument/2006/relationships/hyperlink" Target="https://asean.org/wp-content/uploads/2019/11/Final-ASEAN-China-Joint-Statement-Synergising-the-MPAC-2025-and-the-BRI.pdf" TargetMode="External"/><Relationship Id="rId3" Type="http://schemas.openxmlformats.org/officeDocument/2006/relationships/hyperlink" Target="https://asean.org/wp-content/uploads/2021/09/ASEAN-DOCUMENTS-SERIES-2011.pdf" TargetMode="External"/><Relationship Id="rId21" Type="http://schemas.openxmlformats.org/officeDocument/2006/relationships/hyperlink" Target="https://asean.org/wp-content/uploads/2024/07/The-Final-Chairmans-Statement-of-The-ASEAN-Post-Ministerial-Conference-PMC-101-with-Dialogue-Partners-and-Trilateral-Meetings.pdf" TargetMode="External"/><Relationship Id="rId7" Type="http://schemas.openxmlformats.org/officeDocument/2006/relationships/hyperlink" Target="https://asean.org/wp-content/uploads/2022/09/11.-November-2014-ASEAN-Documents-Series-2013.pdf" TargetMode="External"/><Relationship Id="rId12" Type="http://schemas.openxmlformats.org/officeDocument/2006/relationships/hyperlink" Target="https://asean.org/wp-content/uploads/2016/10/ASEAN-Documents-Series-2015.pdf" TargetMode="External"/><Relationship Id="rId17" Type="http://schemas.openxmlformats.org/officeDocument/2006/relationships/hyperlink" Target="https://asean.org/wp-content/uploads/2024/02/ASEAN-Documents-Series-2016.pdf" TargetMode="External"/><Relationship Id="rId25" Type="http://schemas.openxmlformats.org/officeDocument/2006/relationships/hyperlink" Target="https://asean.org/wp-content/uploads/2021/11/Joint-Statement-30th-Anniversary-of-ASEAN-China-Dialogue-Relations-Final.pdf" TargetMode="External"/><Relationship Id="rId2" Type="http://schemas.openxmlformats.org/officeDocument/2006/relationships/hyperlink" Target="https://asean.org/wp-content/uploads/2021/09/ASEAN-DOCUMENTS-SERIES-2011.pdf" TargetMode="External"/><Relationship Id="rId16" Type="http://schemas.openxmlformats.org/officeDocument/2006/relationships/hyperlink" Target="https://asean.org/wp-content/uploads/2024/02/ASEAN-Documents-Series-2016.pdf" TargetMode="External"/><Relationship Id="rId20" Type="http://schemas.openxmlformats.org/officeDocument/2006/relationships/hyperlink" Target="https://asean.org/wp-content/uploads/2024/06/Remarks-by-SG-Dr.-Kao-at-ASEAN-China-Future-Relations-Forum_As-Delivered.pdf" TargetMode="External"/><Relationship Id="rId29" Type="http://schemas.openxmlformats.org/officeDocument/2006/relationships/hyperlink" Target="https://www.asean.org/wp-content/uploads/images/Chairmans_statement_of_17th_ASEAN-China_Summit.pdf" TargetMode="External"/><Relationship Id="rId1" Type="http://schemas.openxmlformats.org/officeDocument/2006/relationships/hyperlink" Target="https://asean.org/wp-content/uploads/2021/09/ASEAN-DOCUMENTS-SERIES-2011.pdf" TargetMode="External"/><Relationship Id="rId6" Type="http://schemas.openxmlformats.org/officeDocument/2006/relationships/hyperlink" Target="https://asean.org/wp-content/uploads/2024/02/ASEAN-Documents-Series-2012.pdf" TargetMode="External"/><Relationship Id="rId11" Type="http://schemas.openxmlformats.org/officeDocument/2006/relationships/hyperlink" Target="https://asean.org/wp-content/uploads/2021/09/9.-September-2015-ASEAN-Documents-Series-2014.pdf" TargetMode="External"/><Relationship Id="rId24" Type="http://schemas.openxmlformats.org/officeDocument/2006/relationships/hyperlink" Target="https://asean.org/wp-content/uploads/2022/08/Final_Chairmans_Statement_of_PMC_101_Sessions_with_DPs__Trilateral-Meetings.pdf" TargetMode="External"/><Relationship Id="rId5" Type="http://schemas.openxmlformats.org/officeDocument/2006/relationships/hyperlink" Target="https://asean.org/wp-content/uploads/2024/02/ASEAN-Documents-Series-2012.pdf" TargetMode="External"/><Relationship Id="rId15" Type="http://schemas.openxmlformats.org/officeDocument/2006/relationships/hyperlink" Target="https://asean.org/wp-content/uploads/2016/10/ASEAN-Documents-Series-2015.pdf" TargetMode="External"/><Relationship Id="rId23" Type="http://schemas.openxmlformats.org/officeDocument/2006/relationships/hyperlink" Target="https://asean.org/wp-content/uploads/2024/07/FIN_ASEAN-Annual-Report-2023-June-December-Epub.pdf" TargetMode="External"/><Relationship Id="rId28" Type="http://schemas.openxmlformats.org/officeDocument/2006/relationships/hyperlink" Target="https://asean.org/wp-content/uploads/2022/09/11.-November-2014-ASEAN-Documents-Series-2013.pdf" TargetMode="External"/><Relationship Id="rId10" Type="http://schemas.openxmlformats.org/officeDocument/2006/relationships/hyperlink" Target="https://asean.org/wp-content/uploads/2021/09/9.-September-2015-ASEAN-Documents-Series-2014.pdf" TargetMode="External"/><Relationship Id="rId19" Type="http://schemas.openxmlformats.org/officeDocument/2006/relationships/hyperlink" Target="https://aseanregionalforum.asean.org/wp-content/uploads/2024/01/ASEAN-REGIONAL-FORUM-ANNUAL-SECURITY-OUTLOOK-2023-final-ver.pdf" TargetMode="External"/><Relationship Id="rId31" Type="http://schemas.openxmlformats.org/officeDocument/2006/relationships/table" Target="../tables/table5.xml"/><Relationship Id="rId4" Type="http://schemas.openxmlformats.org/officeDocument/2006/relationships/hyperlink" Target="https://asean.org/wp-content/uploads/2024/02/ASEAN-Documents-Series-2012.pdf" TargetMode="External"/><Relationship Id="rId9" Type="http://schemas.openxmlformats.org/officeDocument/2006/relationships/hyperlink" Target="https://asean.org/wp-content/uploads/2021/09/9.-September-2015-ASEAN-Documents-Series-2014.pdf" TargetMode="External"/><Relationship Id="rId14" Type="http://schemas.openxmlformats.org/officeDocument/2006/relationships/hyperlink" Target="https://asean.org/wp-content/uploads/2016/10/ASEAN-Documents-Series-2015.pdf" TargetMode="External"/><Relationship Id="rId22" Type="http://schemas.openxmlformats.org/officeDocument/2006/relationships/hyperlink" Target="https://asean.org/wp-content/uploads/2024/07/Final-Joint-Communique-of-the-57th-AMM.pdf" TargetMode="External"/><Relationship Id="rId27" Type="http://schemas.openxmlformats.org/officeDocument/2006/relationships/hyperlink" Target="https://asean.org/speechandstatement/joint-media-statement-of-the-7th-regional-comprehensive-economic-partnership-rcep-intersessional-ministerial-meeting/" TargetMode="External"/><Relationship Id="rId30" Type="http://schemas.openxmlformats.org/officeDocument/2006/relationships/hyperlink" Target="https://asean.org/wp-content/uploads/2021/09/9.-September-2015-ASEAN-Documents-Series-2014.pdf"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asia.nikkei.com/Economy/Southeast-Asian-ports-thirst-for-more-seaborne-trade" TargetMode="External"/><Relationship Id="rId21" Type="http://schemas.openxmlformats.org/officeDocument/2006/relationships/hyperlink" Target="https://asia.nikkei.com/Politics/Look-of-new-Asian-order-still-anyone-s-guess-says-ex-diplomat" TargetMode="External"/><Relationship Id="rId42" Type="http://schemas.openxmlformats.org/officeDocument/2006/relationships/hyperlink" Target="https://asia.nikkei.com/Politics/International-relations/ASEAN-urges-cool-heads-on-South-China-Sea-as-summit-ends" TargetMode="External"/><Relationship Id="rId47" Type="http://schemas.openxmlformats.org/officeDocument/2006/relationships/hyperlink" Target="https://www.straitstimes.com/asia/east-asia/president-tony-tan-keng-yam-meets-top-chinese-leaders-during-state-visit" TargetMode="External"/><Relationship Id="rId63" Type="http://schemas.openxmlformats.org/officeDocument/2006/relationships/hyperlink" Target="https://www.straitstimes.com/multimedia/graphics/2022/05/china-us-influence-asean-southeast-asia/index.html?shell" TargetMode="External"/><Relationship Id="rId68" Type="http://schemas.openxmlformats.org/officeDocument/2006/relationships/hyperlink" Target="https://www.businessinsider.com/why-the-south-china-sea-is-so-crucial-2015-2" TargetMode="External"/><Relationship Id="rId7" Type="http://schemas.openxmlformats.org/officeDocument/2006/relationships/hyperlink" Target="https://www.scmp.com/week-asia/geopolitics/article/2106469/asean-and-china-have-moved-ondidnt-vietnam-get-memo" TargetMode="External"/><Relationship Id="rId2" Type="http://schemas.openxmlformats.org/officeDocument/2006/relationships/hyperlink" Target="https://www.scmp.com/news/china/article/1324370/xi-jinping-holds-malaysia-talks-regional-charm-offensive" TargetMode="External"/><Relationship Id="rId16" Type="http://schemas.openxmlformats.org/officeDocument/2006/relationships/hyperlink" Target="https://www.scmp.com/economy/china-economy/article/3236219/china-pushes-pivot-south-and-southeast-asia-yunnan-province-gateway-vast-market" TargetMode="External"/><Relationship Id="rId29" Type="http://schemas.openxmlformats.org/officeDocument/2006/relationships/hyperlink" Target="https://asia.nikkei.com/Economy/Singapore-walks-a-tightrope-between-China-US" TargetMode="External"/><Relationship Id="rId11" Type="http://schemas.openxmlformats.org/officeDocument/2006/relationships/hyperlink" Target="https://www.scmp.com/news/china/diplomacy/article/3081275/beijing-could-face-aseans-wrath-over-naming-and-claiming-south" TargetMode="External"/><Relationship Id="rId24" Type="http://schemas.openxmlformats.org/officeDocument/2006/relationships/hyperlink" Target="https://asia.nikkei.com/Spotlight/The-Big-Story/How-Beijing-is-winning-control-of-the-South-China-Sea" TargetMode="External"/><Relationship Id="rId32" Type="http://schemas.openxmlformats.org/officeDocument/2006/relationships/hyperlink" Target="https://asia.nikkei.com/Politics/International-relations/China-tightens-ASEAN-grip-while-US-looks-inward2" TargetMode="External"/><Relationship Id="rId37" Type="http://schemas.openxmlformats.org/officeDocument/2006/relationships/hyperlink" Target="https://asia.nikkei.com/Spotlight/Asia-Insight/Philippines-Marcos-muscles-up-ASEAN-s-South-China-Sea-posture" TargetMode="External"/><Relationship Id="rId40" Type="http://schemas.openxmlformats.org/officeDocument/2006/relationships/hyperlink" Target="https://asia.nikkei.com/Spotlight/Belt-and-Road/ASEAN-to-stay-priority-for-China-s-BRI-investment-despite-slowdown" TargetMode="External"/><Relationship Id="rId45" Type="http://schemas.openxmlformats.org/officeDocument/2006/relationships/hyperlink" Target="https://asia.nikkei.com/Spotlight/The-Big-Story/China-s-grip-on-Southeast-Asia-tightens-as-U.S.-influence-wanes" TargetMode="External"/><Relationship Id="rId53" Type="http://schemas.openxmlformats.org/officeDocument/2006/relationships/hyperlink" Target="https://www.straitstimes.com/asia/east-asia/china-asean-kick-off-inaugural-maritime-field-training-exercise-in-zhanjiang" TargetMode="External"/><Relationship Id="rId58" Type="http://schemas.openxmlformats.org/officeDocument/2006/relationships/hyperlink" Target="https://www.straitstimes.com/asia/east-asia/china-will-not-bully-smaller-countries-xi-tells-asean-leaders" TargetMode="External"/><Relationship Id="rId66" Type="http://schemas.openxmlformats.org/officeDocument/2006/relationships/hyperlink" Target="https://www.straitstimes.com/asia/se-asia/asean-has-made-progress-on-its-long-term-goals-and-areas-of-cooperation-says-pm-lee" TargetMode="External"/><Relationship Id="rId5" Type="http://schemas.openxmlformats.org/officeDocument/2006/relationships/hyperlink" Target="https://www.scmp.com/news/china/military/article/2169727/china-embarks-first-joint-naval-drills-asean-us-tensions-simmer" TargetMode="External"/><Relationship Id="rId61" Type="http://schemas.openxmlformats.org/officeDocument/2006/relationships/hyperlink" Target="https://www.straitstimes.com/asia/asean-at-a-crossroads-jakarta-post-contributor" TargetMode="External"/><Relationship Id="rId19" Type="http://schemas.openxmlformats.org/officeDocument/2006/relationships/hyperlink" Target="https://www.scmp.com/news/china/diplomacy/article/3233624/chinas-li-qiang-urges-asean-japan-and-south-korea-oppose-new-cold-war-amid-growing-us-rivalry" TargetMode="External"/><Relationship Id="rId14" Type="http://schemas.openxmlformats.org/officeDocument/2006/relationships/hyperlink" Target="https://www.scmp.com/news/china/diplomacy/article/3234839/chinas-li-qiang-vows-practical-cooperation-asean-bid-reassure-region-amid-maritime-disputes-us" TargetMode="External"/><Relationship Id="rId22" Type="http://schemas.openxmlformats.org/officeDocument/2006/relationships/hyperlink" Target="https://asia.nikkei.com/Politics/Amid-Cambodia-Vietnam-border-tensions-a-special-relationship-evolves" TargetMode="External"/><Relationship Id="rId27" Type="http://schemas.openxmlformats.org/officeDocument/2006/relationships/hyperlink" Target="https://asia.nikkei.com/Economy/ASEAN-is-coming-together-slowly" TargetMode="External"/><Relationship Id="rId30" Type="http://schemas.openxmlformats.org/officeDocument/2006/relationships/hyperlink" Target="https://asia.nikkei.com/Politics/International-relations/Xi-courts-ASEAN-at-summit-as-Duterte-hits-out-over-South-China-Sea" TargetMode="External"/><Relationship Id="rId35" Type="http://schemas.openxmlformats.org/officeDocument/2006/relationships/hyperlink" Target="https://asia.nikkei.com/Politics/International-relations/China-s-ASEAN-diplomacy-pushes-back-against-US-encirclement" TargetMode="External"/><Relationship Id="rId43" Type="http://schemas.openxmlformats.org/officeDocument/2006/relationships/hyperlink" Target="https://asia.nikkei.com/Spotlight/Asia-Insight/China-s-massive-new-canal-aims-for-closer-ASEAN-connectivity" TargetMode="External"/><Relationship Id="rId48" Type="http://schemas.openxmlformats.org/officeDocument/2006/relationships/hyperlink" Target="https://www.straitstimes.com/singapore/slower-pace-of-life-comes-with-trade-off-says-shanmugam" TargetMode="External"/><Relationship Id="rId56" Type="http://schemas.openxmlformats.org/officeDocument/2006/relationships/hyperlink" Target="https://www.straitstimes.com/singapore/china-general-he-lei-slams-irresponsible-comments-on-south-china-sea" TargetMode="External"/><Relationship Id="rId64" Type="http://schemas.openxmlformats.org/officeDocument/2006/relationships/hyperlink" Target="https://www.straitstimes.com/asia/east-asia/malaysia-china-to-have-open-communication-over-south-china-sea-issue-anwar" TargetMode="External"/><Relationship Id="rId69" Type="http://schemas.openxmlformats.org/officeDocument/2006/relationships/hyperlink" Target="https://asia.nikkei.com/editor-s-picks/interview/philippine-minister-urges-asean-to-seal-south-china-sea-code-of-conduct" TargetMode="External"/><Relationship Id="rId8" Type="http://schemas.openxmlformats.org/officeDocument/2006/relationships/hyperlink" Target="https://www.scmp.com/week-asia/article/2186449/explained-south-china-sea-dispute" TargetMode="External"/><Relationship Id="rId51" Type="http://schemas.openxmlformats.org/officeDocument/2006/relationships/hyperlink" Target="https://www.straitstimes.com/asia/leaders-of-asean-china-japan-and-south-korea-call-for-closer-economic-integration" TargetMode="External"/><Relationship Id="rId3" Type="http://schemas.openxmlformats.org/officeDocument/2006/relationships/hyperlink" Target="https://www.scmp.com/news/world/article/1881342/malaysia-opens-asean-summit-urge-world-leaders-confront-islamist" TargetMode="External"/><Relationship Id="rId12" Type="http://schemas.openxmlformats.org/officeDocument/2006/relationships/hyperlink" Target="https://www.scmp.com/week-asia/politics/article/3128986/us-china-rivalry-pressure-asean-countries-choose-sides" TargetMode="External"/><Relationship Id="rId17" Type="http://schemas.openxmlformats.org/officeDocument/2006/relationships/hyperlink" Target="https://www.scmp.com/news/china/diplomacy/article/3215750/south-china-sea-china-pushes-code-conduct-talks-pledges-deeper-malaysia-asean-ties" TargetMode="External"/><Relationship Id="rId25" Type="http://schemas.openxmlformats.org/officeDocument/2006/relationships/hyperlink" Target="https://asia.nikkei.com/Politics/ASEAN-way-confronts-new-realities-of-US-Chinese-power" TargetMode="External"/><Relationship Id="rId33" Type="http://schemas.openxmlformats.org/officeDocument/2006/relationships/hyperlink" Target="https://asia.nikkei.com/Politics/International-relations/Beijing-friendly-Cambodia-and-Laos-pushed-out-to-ASEAN-s-fringe2" TargetMode="External"/><Relationship Id="rId38" Type="http://schemas.openxmlformats.org/officeDocument/2006/relationships/hyperlink" Target="https://asia.nikkei.com/Politics/International-relations/South-China-Sea/ASEAN-leaders-meet-Chinese-Premier-Li-amid-map-controversy" TargetMode="External"/><Relationship Id="rId46" Type="http://schemas.openxmlformats.org/officeDocument/2006/relationships/hyperlink" Target="https://www.straitstimes.com/singapore/freedom-of-navigation-key-to-spore-shanmugam" TargetMode="External"/><Relationship Id="rId59" Type="http://schemas.openxmlformats.org/officeDocument/2006/relationships/hyperlink" Target="https://www.straitstimes.com/asia/se-asia/chinese-ships-intruded-into-malaysian-waters-89-times-in-four-years-report" TargetMode="External"/><Relationship Id="rId67" Type="http://schemas.openxmlformats.org/officeDocument/2006/relationships/hyperlink" Target="https://www.straitstimes.com/asia/se-asia/asean-leaders-to-meet-in-jakarta-for-regional-summit-amid-tensions-over-new-chinese-map" TargetMode="External"/><Relationship Id="rId20" Type="http://schemas.openxmlformats.org/officeDocument/2006/relationships/hyperlink" Target="https://asia.nikkei.com/Economy/TPP-vital-not-just-economically-but-strategically-Lee-Hsien-Loong" TargetMode="External"/><Relationship Id="rId41" Type="http://schemas.openxmlformats.org/officeDocument/2006/relationships/hyperlink" Target="https://asia.nikkei.com/Politics/International-relations/US-China-tensions/China-deepens-ties-with-ASEAN-as-Biden-skips-Jakarta-summits" TargetMode="External"/><Relationship Id="rId54" Type="http://schemas.openxmlformats.org/officeDocument/2006/relationships/hyperlink" Target="https://www.straitstimes.com/world/united-states/concerned-about-chinas-influence-congressional-asean-group-wants-deeper-us-asean" TargetMode="External"/><Relationship Id="rId62" Type="http://schemas.openxmlformats.org/officeDocument/2006/relationships/hyperlink" Target="https://www.straitstimes.com/asia/se-asia/china-and-asean-agree-on-guidelines-to-expedite-south-china-sea-negotiations" TargetMode="External"/><Relationship Id="rId70" Type="http://schemas.openxmlformats.org/officeDocument/2006/relationships/table" Target="../tables/table6.xml"/><Relationship Id="rId1" Type="http://schemas.openxmlformats.org/officeDocument/2006/relationships/hyperlink" Target="https://www.scmp.com/article/982578/wen-keen-mend-fences-asean" TargetMode="External"/><Relationship Id="rId6" Type="http://schemas.openxmlformats.org/officeDocument/2006/relationships/hyperlink" Target="https://www.scmp.com/news/china/diplomacy/article/2169002/south-china-sea-beijings-top-foreign-policy-priority-us-think" TargetMode="External"/><Relationship Id="rId15" Type="http://schemas.openxmlformats.org/officeDocument/2006/relationships/hyperlink" Target="https://www.scmp.com/news/china/diplomacy/article/3210193/new-chinese-trade-zones-philippines-indonesia-showcase-asean-bridge-and-bond" TargetMode="External"/><Relationship Id="rId23" Type="http://schemas.openxmlformats.org/officeDocument/2006/relationships/hyperlink" Target="https://asia.nikkei.com/Politics/Former-foes-US-Vietnam-move-closer-on-defense" TargetMode="External"/><Relationship Id="rId28" Type="http://schemas.openxmlformats.org/officeDocument/2006/relationships/hyperlink" Target="https://asia.nikkei.com/Economy/Moe-Thuzar-To-remain-relevant-ASEAN-needs-a-stronger-nerve-center" TargetMode="External"/><Relationship Id="rId36" Type="http://schemas.openxmlformats.org/officeDocument/2006/relationships/hyperlink" Target="https://asia.nikkei.com/Politics/International-relations/South-China-Sea/ASEAN-and-China-aim-for-South-China-Sea-hotline-trial-in-2023" TargetMode="External"/><Relationship Id="rId49" Type="http://schemas.openxmlformats.org/officeDocument/2006/relationships/hyperlink" Target="https://www.straitstimes.com/asia/east-asia/what-you-need-to-know-about-south-china-sea-disputes" TargetMode="External"/><Relationship Id="rId57" Type="http://schemas.openxmlformats.org/officeDocument/2006/relationships/hyperlink" Target="https://www.straitstimes.com/politics/asean-must-find-right-balance-to-weather-grave-period-in-world-history-vivian-balakrishnan" TargetMode="External"/><Relationship Id="rId10" Type="http://schemas.openxmlformats.org/officeDocument/2006/relationships/hyperlink" Target="https://www.scmp.com/news/china/diplomacy/article/3143742/beijing-and-aseans-long-awaited-south-china-sea-code-conduct" TargetMode="External"/><Relationship Id="rId31" Type="http://schemas.openxmlformats.org/officeDocument/2006/relationships/hyperlink" Target="https://asia.nikkei.com/Politics/International-relations/South-China-Sea/Vietnam-stresses-South-China-Sea-security-issues-at-ASEAN-meeting" TargetMode="External"/><Relationship Id="rId44" Type="http://schemas.openxmlformats.org/officeDocument/2006/relationships/hyperlink" Target="https://asia.nikkei.com/Politics/International-relations/South-China-Sea/Vietnam-said-to-plan-military-buildup-on-South-China-Sea-footholds" TargetMode="External"/><Relationship Id="rId52" Type="http://schemas.openxmlformats.org/officeDocument/2006/relationships/hyperlink" Target="https://www.straitstimes.com/asia/se-asia/countries-should-not-underestimate-legality-of-beijings-south-china-sea-arguments" TargetMode="External"/><Relationship Id="rId60" Type="http://schemas.openxmlformats.org/officeDocument/2006/relationships/hyperlink" Target="https://www.straitstimes.com/singapore/shangri-la-dialogue-chinese-defence-minister-wei-fenghe-says-china-ready-to-fight-us-on" TargetMode="External"/><Relationship Id="rId65" Type="http://schemas.openxmlformats.org/officeDocument/2006/relationships/hyperlink" Target="https://www.straitstimes.com/asia/se-asia/china-s-premier-urges-asean-to-oppose-new-cold-war-us-v-p-pledges-enduring-commitment-to-region" TargetMode="External"/><Relationship Id="rId4" Type="http://schemas.openxmlformats.org/officeDocument/2006/relationships/hyperlink" Target="https://www.scmp.com/news/china/diplomacy/article/2173174/south-china-sea-asean-beijing-continue-work-towards-code" TargetMode="External"/><Relationship Id="rId9" Type="http://schemas.openxmlformats.org/officeDocument/2006/relationships/hyperlink" Target="https://www.scmp.com/week-asia/geopolitics/article/3011747/south-china-sea-asean-has-choice-asian-values-or-rule-law" TargetMode="External"/><Relationship Id="rId13" Type="http://schemas.openxmlformats.org/officeDocument/2006/relationships/hyperlink" Target="https://www.scmp.com/week-asia/politics/article/3046622/are-aseans-big-players-about-get-tough-beijings-south-china-sea" TargetMode="External"/><Relationship Id="rId18" Type="http://schemas.openxmlformats.org/officeDocument/2006/relationships/hyperlink" Target="https://www.scmp.com/news/asia/southeast-asia/article/3242134/south-china-sea-philippines-asks-malaysia-vietnam-our-own-code-conduct-amid-slow-progress-beijing" TargetMode="External"/><Relationship Id="rId39" Type="http://schemas.openxmlformats.org/officeDocument/2006/relationships/hyperlink" Target="https://asia.nikkei.com/Economy/Trade/China-vows-to-boost-Southeast-Asia-imports-as-growth-slows" TargetMode="External"/><Relationship Id="rId34" Type="http://schemas.openxmlformats.org/officeDocument/2006/relationships/hyperlink" Target="https://asia.nikkei.com/Spotlight/Belt-and-Road/China-promises-to-raise-imports-from-ASEAN-ahead-of-new-rail-link" TargetMode="External"/><Relationship Id="rId50" Type="http://schemas.openxmlformats.org/officeDocument/2006/relationships/hyperlink" Target="https://www.straitstimes.com/singapore/asean-will-not-be-put-in-position-to-pick-between-world-powers-ng-eng-hen" TargetMode="External"/><Relationship Id="rId55" Type="http://schemas.openxmlformats.org/officeDocument/2006/relationships/hyperlink" Target="https://tnp.straitstimes.com/news/world/safe-passage-all-s-china-sea-china" TargetMode="Externa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000"/>
  <sheetViews>
    <sheetView topLeftCell="A20" workbookViewId="0">
      <selection activeCell="D4" sqref="D4:E36"/>
    </sheetView>
  </sheetViews>
  <sheetFormatPr defaultColWidth="12.5703125" defaultRowHeight="15" customHeight="1"/>
  <cols>
    <col min="1" max="3" width="12.5703125" customWidth="1"/>
    <col min="4" max="4" width="65.28515625" customWidth="1"/>
    <col min="5" max="5" width="12.5703125" customWidth="1"/>
    <col min="6" max="6" width="14.28515625" customWidth="1"/>
  </cols>
  <sheetData>
    <row r="1" spans="1:9" ht="15.75" customHeight="1">
      <c r="A1" s="1" t="s">
        <v>0</v>
      </c>
      <c r="E1" s="2"/>
    </row>
    <row r="2" spans="1:9" ht="15.75" customHeight="1">
      <c r="E2" s="2"/>
    </row>
    <row r="3" spans="1:9" ht="15.75" customHeight="1">
      <c r="A3" s="3" t="s">
        <v>1</v>
      </c>
      <c r="B3" s="3" t="s">
        <v>2</v>
      </c>
      <c r="C3" s="4" t="s">
        <v>3</v>
      </c>
      <c r="D3" s="3" t="s">
        <v>4</v>
      </c>
      <c r="E3" s="5" t="s">
        <v>5</v>
      </c>
      <c r="F3" s="3" t="s">
        <v>6</v>
      </c>
      <c r="G3" s="3"/>
    </row>
    <row r="4" spans="1:9" ht="15.75" customHeight="1">
      <c r="A4" s="3">
        <v>1</v>
      </c>
      <c r="B4" s="3" t="s">
        <v>7</v>
      </c>
      <c r="C4" s="3" t="s">
        <v>8</v>
      </c>
      <c r="D4" s="6" t="s">
        <v>9</v>
      </c>
      <c r="E4" s="7" t="s">
        <v>10</v>
      </c>
      <c r="F4" s="8" t="str">
        <f t="shared" ref="F4:F36" si="0">CONCATENATE($A$1,D4)</f>
        <v>https://webcache.googleusercontent.com/search?q=cache:https://www.scmp.com/news/asia/article/1741450/asean-nations-react-coolly-us-navy-commanders-call-joint-patrols-south</v>
      </c>
      <c r="G4" s="3" t="str">
        <f ca="1">IFERROR(__xludf.DUMMYFUNCTION("IMPORTXML(F4,""/html/body/div[2]/div/div[1]/div/div/article/div/div/div/div[15]"")"),"The commander of the Japan-based US Navy Seventh Fleet has called on 
Southeast Asian nations to form a combined maritime force to patrol areas 
of the South China Sea where there are territorial tensions with China.Analysts said the initiative signalled "&amp;"the renewed urgency of the United 
States to preserve its right of free passage through some of the world's 
most important sea lanes.But despite China's accelerating reclamation works in the waters, the plan 
is unlikely to win support from most Southeas"&amp;"t Asian countries given their 
business interests in the world's second-largest economy.")</f>
        <v>The commander of the Japan-based US Navy Seventh Fleet has called on 
Southeast Asian nations to form a combined maritime force to patrol areas 
of the South China Sea where there are territorial tensions with China.Analysts said the initiative signalled the renewed urgency of the United 
States to preserve its right of free passage through some of the world's 
most important sea lanes.But despite China's accelerating reclamation works in the waters, the plan 
is unlikely to win support from most Southeast Asian countries given their 
business interests in the world's second-largest economy.</v>
      </c>
      <c r="H4" s="4" t="str">
        <f ca="1">IFERROR(__xludf.DUMMYFUNCTION("""COMPUTED_VALUE"""),"During the Langkawi International Maritime and Aerospace Exhibition in 
Malaysia on Tuesday, Vice-Admiral Robert Thomas suggested that members of 
the Association of Southeast Asian Nations (Asean) could streamline 
maritime security and launch joint patr"&amp;"ols.""If Asean members were to take the lead in organising something along those 
lines, trust me, the US Seventh Fleet would be ready to support it,"" Thomas 
said at a discussion panel with navy chiefs from the region.Thomas also said in January that Ja"&amp;"pan was welcome to extend air patrols by 
its Self-Defence Forces into the South China Sea, a disputed area that, in 
addition to hosting vital sea lanes, is believed to harbour extensive 
natural resources including petroleum and natural gas.Vietnam, whi"&amp;"ch claims certain parts of the waters, said yesterday that 
countries should refrain from unilateral use of force in the region .""We agreed ... [to] exercise self-restraint and refrain from actions that 
may escalate tensions in the region, including the"&amp;" use of force to 
unilaterally change the status quo,"" Vietnamese Prime Minister Nguyen Tan 
Dung said after a meeting with Australian Prime Minister Tony Abbott.The suggestion of joint patrols comes after China sped up reclamation 
projects on reefs in "&amp;"waters criss-crossed by claims from Vietnam, Taiwan, 
Brunei, the Philippines and Malaysia.DigitalGlobe, an American commercial vendor of satellite images, on Monday 
released photos of new construction, including landfills and structures 
resembling rada"&amp;"r towers and gun emplacements.The photos showed that China was turning Fiery Cross Reef, in the Spratly 
Islands 1,000km south of the mainland, into a naval and air force base, 
DigitalGlobe said. The reef is controlled by China but is also claimed by 
Vi"&amp;"etnam, the Philippines and Taiwan. Some 200 Chinese troops are believed 
to be based there.In response to Thomas' call for joint Asean patrols, a foreign ministry 
spokesman said on Wednesday that Beijing was committed to working towards 
regional stabili"&amp;"ty.""We hope the relevant countries in the region can come together with 
China,"" Hong Lei said. ""We hope that countries outside the region maintain 
a neutral position, particularly on the issue of sovereignty.""Jia Qingguo , dean of the School of Inte"&amp;"rnational Studies at Peking 
University, said: ""The US has a keen interest in the South China Sea 
because it wants to preserve the right of free passage there.""China has accelerated construction within its so-called nine-dash line that 
stretches deep "&amp;"into the disputed waters, but is yet to clarify if the line 
is its territorial boundary.""If China said it was, such claims to the waters would directly challenge 
the passage rights of the US and bilateral tensions would escalate,"" Jia 
said.""China wi"&amp;"ll not make its interpretation of the nine-dash line any less 
ambiguous in the near future, despite the US repeatedly calling for 
clarification.""Most Asean countries would not risk trade ties with China and join the 
patrols, said Shen Shishun , direct"&amp;"or of the department of Asia-Pacific 
security and cooperation at the China Institute of International Studies.""Only countries whose territorial tensions with China have escalated 
recently - the Philippines and Vietnam - would like to see [joint 
patrol"&amp;"s],"" Shen said.But Asean members were unlikely to voice support given the potential 
investments arising from China's proposed Maritime Silk Road economic belt.This article appeared in the South China Morning Post print edition as: 
U.S. calls for Asean "&amp;"joint patrols")</f>
        <v>During the Langkawi International Maritime and Aerospace Exhibition in 
Malaysia on Tuesday, Vice-Admiral Robert Thomas suggested that members of 
the Association of Southeast Asian Nations (Asean) could streamline 
maritime security and launch joint patrols."If Asean members were to take the lead in organising something along those 
lines, trust me, the US Seventh Fleet would be ready to support it," Thomas 
said at a discussion panel with navy chiefs from the region.Thomas also said in January that Japan was welcome to extend air patrols by 
its Self-Defence Forces into the South China Sea, a disputed area that, in 
addition to hosting vital sea lanes, is believed to harbour extensive 
natural resources including petroleum and natural gas.Vietnam, which claims certain parts of the waters, said yesterday that 
countries should refrain from unilateral use of force in the region ."We agreed ... [to] exercise self-restraint and refrain from actions that 
may escalate tensions in the region, including the use of force to 
unilaterally change the status quo," Vietnamese Prime Minister Nguyen Tan 
Dung said after a meeting with Australian Prime Minister Tony Abbott.The suggestion of joint patrols comes after China sped up reclamation 
projects on reefs in waters criss-crossed by claims from Vietnam, Taiwan, 
Brunei, the Philippines and Malaysia.DigitalGlobe, an American commercial vendor of satellite images, on Monday 
released photos of new construction, including landfills and structures 
resembling radar towers and gun emplacements.The photos showed that China was turning Fiery Cross Reef, in the Spratly 
Islands 1,000km south of the mainland, into a naval and air force base, 
DigitalGlobe said. The reef is controlled by China but is also claimed by 
Vietnam, the Philippines and Taiwan. Some 200 Chinese troops are believed 
to be based there.In response to Thomas' call for joint Asean patrols, a foreign ministry 
spokesman said on Wednesday that Beijing was committed to working towards 
regional stability."We hope the relevant countries in the region can come together with 
China," Hong Lei said. "We hope that countries outside the region maintain 
a neutral position, particularly on the issue of sovereignty."Jia Qingguo , dean of the School of International Studies at Peking 
University, said: "The US has a keen interest in the South China Sea 
because it wants to preserve the right of free passage there."China has accelerated construction within its so-called nine-dash line that 
stretches deep into the disputed waters, but is yet to clarify if the line 
is its territorial boundary."If China said it was, such claims to the waters would directly challenge 
the passage rights of the US and bilateral tensions would escalate," Jia 
said."China will not make its interpretation of the nine-dash line any less 
ambiguous in the near future, despite the US repeatedly calling for 
clarification."Most Asean countries would not risk trade ties with China and join the 
patrols, said Shen Shishun , director of the department of Asia-Pacific 
security and cooperation at the China Institute of International Studies."Only countries whose territorial tensions with China have escalated 
recently - the Philippines and Vietnam - would like to see [joint 
patrols]," Shen said.But Asean members were unlikely to voice support given the potential 
investments arising from China's proposed Maritime Silk Road economic belt.This article appeared in the South China Morning Post print edition as: 
U.S. calls for Asean joint patrols</v>
      </c>
      <c r="I4" s="4"/>
    </row>
    <row r="5" spans="1:9" ht="15.75" customHeight="1">
      <c r="A5" s="3">
        <v>2</v>
      </c>
      <c r="B5" s="3" t="s">
        <v>11</v>
      </c>
      <c r="C5" s="3" t="s">
        <v>12</v>
      </c>
      <c r="D5" s="6" t="s">
        <v>13</v>
      </c>
      <c r="E5" s="7" t="s">
        <v>14</v>
      </c>
      <c r="F5" s="8" t="str">
        <f t="shared" si="0"/>
        <v>https://webcache.googleusercontent.com/search?q=cache:https://www.scmp.com/article/982578/wen-keen-mend-fences-asean</v>
      </c>
      <c r="G5" s="3" t="str">
        <f ca="1">IFERROR(__xludf.DUMMYFUNCTION("IMPORTXML(F5,""/html/body/div[2]/div/div[1]/div/div/article/div/div/div/div[15]"")"),"Premier Wen Jiabao has called on Asean member states to improve their 
bilateral ties with China by establishing mutual trust and has pledged to 
consolidate financial links with its neighbours during the global financial 
crisis. Wen made his promise at "&amp;"the opening ceremony of the China-Asean summit in 
Nanning in Guangxi province yesterday.China's ties with members of the Association of Southeast Asian Nations 
have soured recently because of territorial disputes and the suspension of 
energy projects. "&amp;"Wen said China was willing to settle disputes with its 
neighbours and called on Myanmar to allow bilateral projects to proceed.")</f>
        <v>Premier Wen Jiabao has called on Asean member states to improve their 
bilateral ties with China by establishing mutual trust and has pledged to 
consolidate financial links with its neighbours during the global financial 
crisis. Wen made his promise at the opening ceremony of the China-Asean summit in 
Nanning in Guangxi province yesterday.China's ties with members of the Association of Southeast Asian Nations 
have soured recently because of territorial disputes and the suspension of 
energy projects. Wen said China was willing to settle disputes with its 
neighbours and called on Myanmar to allow bilateral projects to proceed.</v>
      </c>
      <c r="H5" s="4" t="str">
        <f ca="1">IFERROR(__xludf.DUMMYFUNCTION("""COMPUTED_VALUE"""),"Analysts see Wen's remarks as an attempt to ease tensions with China's 
Asean neighbours, after a recent upsurge of antagonism caught Beijing off 
guard.Fan Hongwei, a Southeast Asian affairs expert at Xiamen University, said 
Beijing was worried regional"&amp;" disputes would become international ones. 
Myanmar's decision to suspend a US$3.6 billion dam project and release 
6,300 prisoners was an indication that Southeast Asian countries were 
clinging to the West, he said.'Beijing does not want matters in the "&amp;"region to get complicated with the 
involvement of more countries,' Fan said. 'By linking the tensions to 
economic and trade ties, China hopes that the countries involved can think 
about the harmful impact to bilateral ties and interests caused by the 
"&amp;"conflicts.'In his speech at the summit, Wen said both sides should act in the spirit 
of equality, mutual trust and seeking common ground while shelving 
differences over political, economic, religious and cultural affairs.'China will continue to follow t"&amp;"he long-term policy of pursuing good 
neighbourly relations and partnership with our neighbours, and be a good 
neighbour, good partner and good friend of Asean forever,' he said.'China is very sincere in advancing its relations with Asean and commits 
it"&amp;"self to deepening practical bilateral co-operation. Friendly China-Asean 
relations have withstood the test of time and past tribulations.'Wen pledged that China would continue to import more from Asean countries - 
the value of imports surged 37.5 per ce"&amp;"nt to US$292.8 billion last year - 
expand the scope of currency swaps in the region and boost the development 
of the Asian bond market.He added that China and Asean should enhance co-operation in the wake of 
the global financial crisis.In his meeting w"&amp;"ith Malaysian Prime Minister Najib Razak yesterday, Wen 
said bilateral co-operation would lead to mutual benefits.Without mentioning any specific project, Wen told Myanmar vice-president 
Tin Aung Myint Oo on Thursday that it was in the common interests "&amp;"of both 
countries to carry out bilateral programmes. He urged the two sides to 
fulfil the commitments reached by their leaders with 'concrete actions'. Beijing reached an agreement with Vietnam last week to seek a long-term 
resolution to disputes in th"&amp;"e South China Sea after an increase in tensions 
brought on by India agreeing to explore for oil with Vietnam in the 
disputed waters. Conditions in the region are still volatile. On Thursday, China asked the 
Philippines to return 25 small boats that wer"&amp;"e seized when being towed in 
waters near the Spratly Islands in the South China Sea.")</f>
        <v>Analysts see Wen's remarks as an attempt to ease tensions with China's 
Asean neighbours, after a recent upsurge of antagonism caught Beijing off 
guard.Fan Hongwei, a Southeast Asian affairs expert at Xiamen University, said 
Beijing was worried regional disputes would become international ones. 
Myanmar's decision to suspend a US$3.6 billion dam project and release 
6,300 prisoners was an indication that Southeast Asian countries were 
clinging to the West, he said.'Beijing does not want matters in the region to get complicated with the 
involvement of more countries,' Fan said. 'By linking the tensions to 
economic and trade ties, China hopes that the countries involved can think 
about the harmful impact to bilateral ties and interests caused by the 
conflicts.'In his speech at the summit, Wen said both sides should act in the spirit 
of equality, mutual trust and seeking common ground while shelving 
differences over political, economic, religious and cultural affairs.'China will continue to follow the long-term policy of pursuing good 
neighbourly relations and partnership with our neighbours, and be a good 
neighbour, good partner and good friend of Asean forever,' he said.'China is very sincere in advancing its relations with Asean and commits 
itself to deepening practical bilateral co-operation. Friendly China-Asean 
relations have withstood the test of time and past tribulations.'Wen pledged that China would continue to import more from Asean countries - 
the value of imports surged 37.5 per cent to US$292.8 billion last year - 
expand the scope of currency swaps in the region and boost the development 
of the Asian bond market.He added that China and Asean should enhance co-operation in the wake of 
the global financial crisis.In his meeting with Malaysian Prime Minister Najib Razak yesterday, Wen 
said bilateral co-operation would lead to mutual benefits.Without mentioning any specific project, Wen told Myanmar vice-president 
Tin Aung Myint Oo on Thursday that it was in the common interests of both 
countries to carry out bilateral programmes. He urged the two sides to 
fulfil the commitments reached by their leaders with 'concrete actions'. Beijing reached an agreement with Vietnam last week to seek a long-term 
resolution to disputes in the South China Sea after an increase in tensions 
brought on by India agreeing to explore for oil with Vietnam in the 
disputed waters. Conditions in the region are still volatile. On Thursday, China asked the 
Philippines to return 25 small boats that were seized when being towed in 
waters near the Spratly Islands in the South China Sea.</v>
      </c>
      <c r="I5" s="4"/>
    </row>
    <row r="6" spans="1:9" ht="15.75" customHeight="1">
      <c r="A6" s="3">
        <v>3</v>
      </c>
      <c r="B6" s="3" t="s">
        <v>15</v>
      </c>
      <c r="C6" s="3" t="s">
        <v>16</v>
      </c>
      <c r="D6" s="6" t="s">
        <v>17</v>
      </c>
      <c r="E6" s="7" t="s">
        <v>18</v>
      </c>
      <c r="F6" s="8" t="str">
        <f t="shared" si="0"/>
        <v>https://webcache.googleusercontent.com/search?q=cache:https://www.scmp.com/news/china/article/1324370/xi-jinping-holds-malaysia-talks-regional-charm-offensive</v>
      </c>
      <c r="G6" s="3" t="str">
        <f ca="1">IFERROR(__xludf.DUMMYFUNCTION("IMPORTXML(F6,""/html/body/div[2]/div/div[1]/div/div/article/div/div/div/div[15]"")"),"China and Malaysia will significantly upgrade bilateral ties to boost 
military co-operation and nearly triple two-way trade.President Xi Jinping said after talks with Malaysian Prime Minister Najib 
Razak that both nations would step up co-operation to p"&amp;"romote regional 
stability as he continued his maiden presidential tour of Southeast Asia in 
Kuala Lumpur.Xi's trip is seen as an attempt by Beijing to gain leverage over the 
Association of Southeast Asian Nations (Asean), especially over the 
handling "&amp;"of territorial disputes and offset the impact of Washington's 
so-called pivot to Asia. With US President Barack Obama scrapping his Asian 
tour due to the US government shutdown, Xi's meetings with regional leaders 
have grabbed the limelight.")</f>
        <v>China and Malaysia will significantly upgrade bilateral ties to boost 
military co-operation and nearly triple two-way trade.President Xi Jinping said after talks with Malaysian Prime Minister Najib 
Razak that both nations would step up co-operation to promote regional 
stability as he continued his maiden presidential tour of Southeast Asia in 
Kuala Lumpur.Xi's trip is seen as an attempt by Beijing to gain leverage over the 
Association of Southeast Asian Nations (Asean), especially over the 
handling of territorial disputes and offset the impact of Washington's 
so-called pivot to Asia. With US President Barack Obama scrapping his Asian 
tour due to the US government shutdown, Xi's meetings with regional leaders 
have grabbed the limelight.</v>
      </c>
      <c r="H6" s="4" t="str">
        <f ca="1">IFERROR(__xludf.DUMMYFUNCTION("""COMPUTED_VALUE"""),"""We agreed to work together to advance the development of the China-Asean 
strategic partnership and continue to promote East Asian co-operation,"" Xi 
said. ""China will continue to provide firm support to the central role of 
Asean in East Asian co-ope"&amp;"ration and we will be happy to see a greater role 
played by Malaysia in this region.""China's role in Southeast Asia has been hampered by maritime disputes in 
the South China Sea and suspicions among Asean nations about China's 
military build-up. Malay"&amp;"sia, which has territorial claims in the disputed 
waters, has not reacted as strongly to Beijing's claims as Asean neighbours 
Vietnam and the Philippines.In a show of strengthened ties, Xi and Najib witnessed the signing of a 
five-year commitment on co"&amp;"-operation. In addition to boosting trade, worth 
US$57 billion last year, to US$160 billion by 2017, the two nations agreed 
to step up military exchanges and law enforcement co-operation.""We have agreed to strengthen our partnership with naval defence,"&amp;" joint 
military exercises to combat terrorism and to promote security,"" Xi said. 
""This will create a sound environment for peace and the prosperity of both 
countries.""Najib said he would visit China next year, and he had ""great confidence 
that und"&amp;"er Xi's leadership, China will continue to make much progress and 
become an economic powerhouse and a major force in providing momentum for 
global economic growth"".Xi began his Southeast Asian tour, his first since being installed as 
president, on Wed"&amp;"nesday. On Thursday he became the first foreign leader to 
address Indonesia's parliament.During a lunch with the local Chinese community, Xi said Malaysian singer 
Jasmine Leong was well known in China, and that he felt glad to visit 
Malaysia again afte"&amp;"r 21 years.Xi will travel to Bali today for the Asia-Pacific Economic Co-operation 
(Apec) summit before returning to Beijing.This article appeared in the South China Morning Post print edition as: 
China, Malaysia to boost military, trade ties")</f>
        <v>"We agreed to work together to advance the development of the China-Asean 
strategic partnership and continue to promote East Asian co-operation," Xi 
said. "China will continue to provide firm support to the central role of 
Asean in East Asian co-operation and we will be happy to see a greater role 
played by Malaysia in this region."China's role in Southeast Asia has been hampered by maritime disputes in 
the South China Sea and suspicions among Asean nations about China's 
military build-up. Malaysia, which has territorial claims in the disputed 
waters, has not reacted as strongly to Beijing's claims as Asean neighbours 
Vietnam and the Philippines.In a show of strengthened ties, Xi and Najib witnessed the signing of a 
five-year commitment on co-operation. In addition to boosting trade, worth 
US$57 billion last year, to US$160 billion by 2017, the two nations agreed 
to step up military exchanges and law enforcement co-operation."We have agreed to strengthen our partnership with naval defence, joint 
military exercises to combat terrorism and to promote security," Xi said. 
"This will create a sound environment for peace and the prosperity of both 
countries."Najib said he would visit China next year, and he had "great confidence 
that under Xi's leadership, China will continue to make much progress and 
become an economic powerhouse and a major force in providing momentum for 
global economic growth".Xi began his Southeast Asian tour, his first since being installed as 
president, on Wednesday. On Thursday he became the first foreign leader to 
address Indonesia's parliament.During a lunch with the local Chinese community, Xi said Malaysian singer 
Jasmine Leong was well known in China, and that he felt glad to visit 
Malaysia again after 21 years.Xi will travel to Bali today for the Asia-Pacific Economic Co-operation 
(Apec) summit before returning to Beijing.This article appeared in the South China Morning Post print edition as: 
China, Malaysia to boost military, trade ties</v>
      </c>
      <c r="I6" s="4"/>
    </row>
    <row r="7" spans="1:9" ht="15.75" customHeight="1">
      <c r="A7" s="3">
        <v>6</v>
      </c>
      <c r="B7" s="3" t="s">
        <v>19</v>
      </c>
      <c r="C7" s="3" t="s">
        <v>20</v>
      </c>
      <c r="D7" s="6" t="s">
        <v>21</v>
      </c>
      <c r="E7" s="7" t="s">
        <v>22</v>
      </c>
      <c r="F7" s="8" t="str">
        <f t="shared" si="0"/>
        <v>https://webcache.googleusercontent.com/search?q=cache:https://www.scmp.com/news/world/article/1881342/malaysia-opens-asean-summit-urge-world-leaders-confront-islamist</v>
      </c>
      <c r="G7" s="3" t="str">
        <f ca="1">IFERROR(__xludf.DUMMYFUNCTION("IMPORTXML(F7,""/html/body/div[2]/div/div[1]/div/div/article/div/div/div/div[15]"")"),"Malaysian Prime Minister Najib Razak called on world leaders to confront 
Islamist extremism, saying its ""barbaric acts"" do not represent any race or 
religion, as he opened a regional summit overshadowed by a spate of attacks 
around the globe.Islamist"&amp;" militants killed 19 people in an attack on a hotel in Mali on 
Friday before Malian commandos stormed the building and rescued 170 people, 
many of them foreigners. This came a week after Islamic State militants 
killed 129 people in coordinated attacks "&amp;"in Paris.""The perpetrators of these cowardly and barbaric acts do not represent any 
race, religion or creed, nor should we allow them to claim to do so,"" Najib 
said in his opening speech at the ASEAN summit.")</f>
        <v>Malaysian Prime Minister Najib Razak called on world leaders to confront 
Islamist extremism, saying its "barbaric acts" do not represent any race or 
religion, as he opened a regional summit overshadowed by a spate of attacks 
around the globe.Islamist militants killed 19 people in an attack on a hotel in Mali on 
Friday before Malian commandos stormed the building and rescued 170 people, 
many of them foreigners. This came a week after Islamic State militants 
killed 129 people in coordinated attacks in Paris."The perpetrators of these cowardly and barbaric acts do not represent any 
race, religion or creed, nor should we allow them to claim to do so," Najib 
said in his opening speech at the ASEAN summit.</v>
      </c>
      <c r="H7" s="4" t="str">
        <f ca="1">IFERROR(__xludf.DUMMYFUNCTION("""COMPUTED_VALUE"""),"""They are terrorists and should be confronted as such, with the full force 
of the law.""Malaysia has deployed extraordinary security measures around Kuala Lumpur 
as leaders from 18 countries, including U.S. President Barack Obama, 
arrived for a pair o"&amp;"f weekend summits.READ MORE: US, Malaysia can fight I.S. narrativeObama said on Saturday the Mali hotel attacks only stiffened the resolve of 
the United States and its allies, which would be relentless in fighting 
those targeting its citizens and would "&amp;"allow militants no safe haven.""With allies and partners, the United States will be relentless to those 
who target our citizens,"" Obama said in opening remarks to ASEAN business 
executives. ""We will continue to root out terrorist networks. We will not"&amp;" 
allow these killers to have a safe haven.""{""@context"":""https://schema.org"",""@type"":""ImageObject"",""caption"":""ASEAN 
leaders (L-R) Philippines President Benigno Aquino III, Indonesia President 
Joko Widodo, Cambodia Prime Minister Hun Sen, Bru"&amp;"nei Sultan Hassanal 
Bolkiah, Laos Prime Minister Thongsing Thammavong, Malaysia Prime Minister 
Najib Razak, Vietnam Prime Minister Nguyen Tan Dung, Thailand Prime 
Minister Prayut Chan-o-cha, Singapore Prime Minister Lee Hsien Loong and 
Myanmar Preside"&amp;"nt Thein Sein during the opening ceremony of the 27th ASEAN 
summit in Kuala Lumpur, Malaysia. Photo: 
EPA"",""url"":""https://www.scmp.com/sites/default/files/styles/486w/public/2015/11/21/malaysia_asean_summit_run930_54152789epa.jpg?itok=jBHSFZ6K""}ASEA"&amp;"N 
leaders (L-R) Philippines President Benigno Aquino III, Indonesia President 
Joko Widodo, Cambodia Prime Minister Hun Sen, Brunei Sultan Hassanal 
Bolkiah, Laos Prime Minister Thongsing Thammavong, Malaysia Prime Minister 
Najib Razak, Vietnam Prime Mi"&amp;"nister Nguyen Tan Dung, Thailand Prime 
Minister Prayut Chan-o-cha, Singapore Prime Minister Lee Hsien Loong and 
Myanmar President Thein Sein during the opening ceremony of the 27th ASEAN 
summit in Kuala Lumpur, Malaysia. Photo: EPAMost of the leaders a"&amp;"rrived from the Asia-Pacific Economic Cooperation 
(APEC) summit in Manila. Both the APEC meeting and the ASEAN summit 
typically focus on economic issues but have been overshadowed by the 
terrorist attacks.Najib said he had intended to open the summit t"&amp;"o talk about an economic 
community that the 10-nation Association of South East Asian Nations 
intends to launch in a region of 622 million people with a combined 
economic output of $2.5 trillion.""But the events of recent days and weeks have cast a sha"&amp;"dow over us all,"" 
he said.He said predominantly Islamic countries such as Malaysia have a duty to 
expose as lies the ""ideology propagated by these extremists that is the 
cause of this sadistic violence.Malaysia has announced it is setting up a ""coun"&amp;"ter-terrrorism"" messaging 
centre using social media and other messaging tools.{""@context"":""https://schema.org"",""@type"":""ImageObject"",""caption"":""Malaysian 
Prime Minister Najib Razak delivers a speech during the opening ceremony of 
the 27th A"&amp;"SEAN summit in Kuala Lumpur. Photo: 
EPA"",""url"":""https://www.scmp.com/sites/default/files/styles/486w/public/2015/11/21/malaysia_asean_summit_run930_54152741epa.jpg?itok=tDIViKx0""}Malaysian 
Prime Minister Najib Razak delivers a speech during the ope"&amp;"ning ceremony of 
the 27th ASEAN summit in Kuala Lumpur. Photo: EPAIn a veiled swipe at China, which is also attending the meetings in 
Malaysia, Obama told the ASEAN business executives the United States was 
working with Southeast Asian allies to preser"&amp;"ve maritime security and 
freedom of navigation.""The United States is working ... to uphold the freedom of navigation and 
ensure disputes in the region are resolved peacefully,"" he said.Beijing has overlapping claims with Vietnam, the Philippines, Mala"&amp;"ysia, 
Taiwan and Brunei in the South China Sea, through which $5 trillion in 
ship-borne trade passes every year.READ MORE: Ahead of key Apec and Asean meetings, China’s attempts to soften 
its image have only limited successChina has been transforming s"&amp;"even reefs in the Spratly archipelago into 
artificial islands and building three airfields and other facilities on 
some of them, prompting concern in Washington and the region that China is 
extending its military reach deep into maritime Southeast Asia"&amp;".China has said it does not want the South China Sea issue to be the focus 
of the meetings in Kuala Lumpur.Obama said his signature free trade agreement, known as the Trans-Pacific 
Partnership (TPP), will bind the United States even closer to some of ou"&amp;"r 
strongest allies in Asia"".""Our alliances are the foundation for our security which becomes the 
foundation for our prosperity, which allows us to invest in the source of 
our strength, including our alliances,"" he told the ASEAN business 
executives"&amp;".The Asia-Pacific countries in the TPP include Japan, Singapore, Malaysia, 
Vietnam, Brunei, New Zealand and Australia, all of whom are attending the 
Malaysia meetings.After his speech, Obama visited a Kuala Lumpur educational centre for 
refugees, many "&amp;"of them Rohingyas from Myanmar, to help focus attention, he 
said, on ""an unprecedented number of refugees"" across the world.Speaking of the children he met, he said ""that’s the face of not only of 
children from Myanmar, that’s the face of Syrian chil"&amp;"dren and Iraqi 
children.""Alluding to Republican critics who are trying to block the flow of Syrian 
refugees to the United States, he said: ""The notion that somehow we would 
be fearful of them, that the politics would somehow lead us to turn our 
sigh"&amp;"ts away from their plight"" was not in keeping with American values.")</f>
        <v>"They are terrorists and should be confronted as such, with the full force 
of the law."Malaysia has deployed extraordinary security measures around Kuala Lumpur 
as leaders from 18 countries, including U.S. President Barack Obama, 
arrived for a pair of weekend summits.READ MORE: US, Malaysia can fight I.S. narrativeObama said on Saturday the Mali hotel attacks only stiffened the resolve of 
the United States and its allies, which would be relentless in fighting 
those targeting its citizens and would allow militants no safe haven."With allies and partners, the United States will be relentless to those 
who target our citizens," Obama said in opening remarks to ASEAN business 
executives. "We will continue to root out terrorist networks. We will not 
allow these killers to have a safe haven."{"@context":"https://schema.org","@type":"ImageObject","caption":"ASEAN 
leaders (L-R) Philippines President Benigno Aquino III, Indonesia President 
Joko Widodo, Cambodia Prime Minister Hun Sen, Brunei Sultan Hassanal 
Bolkiah, Laos Prime Minister Thongsing Thammavong, Malaysia Prime Minister 
Najib Razak, Vietnam Prime Minister Nguyen Tan Dung, Thailand Prime 
Minister Prayut Chan-o-cha, Singapore Prime Minister Lee Hsien Loong and 
Myanmar President Thein Sein during the opening ceremony of the 27th ASEAN 
summit in Kuala Lumpur, Malaysia. Photo: 
EPA","url":"https://www.scmp.com/sites/default/files/styles/486w/public/2015/11/21/malaysia_asean_summit_run930_54152789epa.jpg?itok=jBHSFZ6K"}ASEAN 
leaders (L-R) Philippines President Benigno Aquino III, Indonesia President 
Joko Widodo, Cambodia Prime Minister Hun Sen, Brunei Sultan Hassanal 
Bolkiah, Laos Prime Minister Thongsing Thammavong, Malaysia Prime Minister 
Najib Razak, Vietnam Prime Minister Nguyen Tan Dung, Thailand Prime 
Minister Prayut Chan-o-cha, Singapore Prime Minister Lee Hsien Loong and 
Myanmar President Thein Sein during the opening ceremony of the 27th ASEAN 
summit in Kuala Lumpur, Malaysia. Photo: EPAMost of the leaders arrived from the Asia-Pacific Economic Cooperation 
(APEC) summit in Manila. Both the APEC meeting and the ASEAN summit 
typically focus on economic issues but have been overshadowed by the 
terrorist attacks.Najib said he had intended to open the summit to talk about an economic 
community that the 10-nation Association of South East Asian Nations 
intends to launch in a region of 622 million people with a combined 
economic output of $2.5 trillion."But the events of recent days and weeks have cast a shadow over us all," 
he said.He said predominantly Islamic countries such as Malaysia have a duty to 
expose as lies the "ideology propagated by these extremists that is the 
cause of this sadistic violence.Malaysia has announced it is setting up a "counter-terrrorism" messaging 
centre using social media and other messaging tools.{"@context":"https://schema.org","@type":"ImageObject","caption":"Malaysian 
Prime Minister Najib Razak delivers a speech during the opening ceremony of 
the 27th ASEAN summit in Kuala Lumpur. Photo: 
EPA","url":"https://www.scmp.com/sites/default/files/styles/486w/public/2015/11/21/malaysia_asean_summit_run930_54152741epa.jpg?itok=tDIViKx0"}Malaysian 
Prime Minister Najib Razak delivers a speech during the opening ceremony of 
the 27th ASEAN summit in Kuala Lumpur. Photo: EPAIn a veiled swipe at China, which is also attending the meetings in 
Malaysia, Obama told the ASEAN business executives the United States was 
working with Southeast Asian allies to preserve maritime security and 
freedom of navigation."The United States is working ... to uphold the freedom of navigation and 
ensure disputes in the region are resolved peacefully," he said.Beijing has overlapping claims with Vietnam, the Philippines, Malaysia, 
Taiwan and Brunei in the South China Sea, through which $5 trillion in 
ship-borne trade passes every year.READ MORE: Ahead of key Apec and Asean meetings, China’s attempts to soften 
its image have only limited successChina has been transforming seven reefs in the Spratly archipelago into 
artificial islands and building three airfields and other facilities on 
some of them, prompting concern in Washington and the region that China is 
extending its military reach deep into maritime Southeast Asia.China has said it does not want the South China Sea issue to be the focus 
of the meetings in Kuala Lumpur.Obama said his signature free trade agreement, known as the Trans-Pacific 
Partnership (TPP), will bind the United States even closer to some of our 
strongest allies in Asia"."Our alliances are the foundation for our security which becomes the 
foundation for our prosperity, which allows us to invest in the source of 
our strength, including our alliances," he told the ASEAN business 
executives.The Asia-Pacific countries in the TPP include Japan, Singapore, Malaysia, 
Vietnam, Brunei, New Zealand and Australia, all of whom are attending the 
Malaysia meetings.After his speech, Obama visited a Kuala Lumpur educational centre for 
refugees, many of them Rohingyas from Myanmar, to help focus attention, he 
said, on "an unprecedented number of refugees" across the world.Speaking of the children he met, he said "that’s the face of not only of 
children from Myanmar, that’s the face of Syrian children and Iraqi 
children."Alluding to Republican critics who are trying to block the flow of Syrian 
refugees to the United States, he said: "The notion that somehow we would 
be fearful of them, that the politics would somehow lead us to turn our 
sights away from their plight" was not in keeping with American values.</v>
      </c>
      <c r="I7" s="4"/>
    </row>
    <row r="8" spans="1:9" ht="15.75" customHeight="1">
      <c r="A8" s="3">
        <v>8</v>
      </c>
      <c r="B8" s="3" t="s">
        <v>23</v>
      </c>
      <c r="C8" s="3" t="s">
        <v>24</v>
      </c>
      <c r="D8" s="6" t="s">
        <v>25</v>
      </c>
      <c r="E8" s="7" t="s">
        <v>26</v>
      </c>
      <c r="F8" s="8" t="str">
        <f t="shared" si="0"/>
        <v>https://webcache.googleusercontent.com/search?q=cache:https://www.scmp.com/news/china/diplomacy/article/2173174/south-china-sea-asean-beijing-continue-work-towards-code</v>
      </c>
      <c r="G8" s="3" t="str">
        <f ca="1">IFERROR(__xludf.DUMMYFUNCTION("IMPORTXML(F8,""/html/body/div[2]/div/div[1]/div/div/article/div/div/div/div[15]"")"),"China and its Southeast Asian neighbours have reiterated their commitment 
to work together to avoid confrontation and clashes in the disputed South 
China Sea, as Beijing also called for greater cooperation on trade.Speaking on Wednesday at a regional su"&amp;"mmit in Singapore, Lee Hsien Loong, 
prime minister of the city state, said the Association of Southeast Asian 
Nations and China would continue to advance their strategic partnership and 
pointed to the joint maritime exercise held last month as evidence"&amp;" of how 
the two sides could build good relations.“We have deepened mutual trust and understanding, and managed our 
differences peacefully,” he said.Territorial disputes in the South China Sea, where Beijing has stepped up 
its military deployment in rec"&amp;"ent years, is one of the main agenda items at 
the Asean-China meeting, especially in the light of the close encounters 
between Chinese and US naval vessels.{""@context"":""https://schema.org"",""@type"":""ImageObject"",""caption"":""Singapore’ 
Prime Mi"&amp;"nister Lee Hsien Loong said Asean and China have deepened mutual 
trust and managed differences peacefully. Photo: 
AFP"",""url"":""https://img.i-scmp.com/cdn-cgi/image/fit=contain,width=1024,format=auto/sites/default/files/images/methode/2018/11/14/2c27f"&amp;"e40-e7d7-11e8-bfde-9434090d4df7_1320x770_160142.jpg""}Singapore’ 
Prime Minister Lee Hsien Loong said Asean and China have deepened mutual 
trust and managed differences peacefully. Photo: AFPUS Vice-President Mike Pence said in a meeting with Vietnamese "&amp;"Prime 
Minister Nguyen Xhan Phuc on the sidelines of the summit that Washington 
was committed to maintaining openness in the waterway.")</f>
        <v>China and its Southeast Asian neighbours have reiterated their commitment 
to work together to avoid confrontation and clashes in the disputed South 
China Sea, as Beijing also called for greater cooperation on trade.Speaking on Wednesday at a regional summit in Singapore, Lee Hsien Loong, 
prime minister of the city state, said the Association of Southeast Asian 
Nations and China would continue to advance their strategic partnership and 
pointed to the joint maritime exercise held last month as evidence of how 
the two sides could build good relations.“We have deepened mutual trust and understanding, and managed our 
differences peacefully,” he said.Territorial disputes in the South China Sea, where Beijing has stepped up 
its military deployment in recent years, is one of the main agenda items at 
the Asean-China meeting, especially in the light of the close encounters 
between Chinese and US naval vessels.{"@context":"https://schema.org","@type":"ImageObject","caption":"Singapore’ 
Prime Minister Lee Hsien Loong said Asean and China have deepened mutual 
trust and managed differences peacefully. Photo: 
AFP","url":"https://img.i-scmp.com/cdn-cgi/image/fit=contain,width=1024,format=auto/sites/default/files/images/methode/2018/11/14/2c27fe40-e7d7-11e8-bfde-9434090d4df7_1320x770_160142.jpg"}Singapore’ 
Prime Minister Lee Hsien Loong said Asean and China have deepened mutual 
trust and managed differences peacefully. Photo: AFPUS Vice-President Mike Pence said in a meeting with Vietnamese Prime 
Minister Nguyen Xhan Phuc on the sidelines of the summit that Washington 
was committed to maintaining openness in the waterway.</v>
      </c>
      <c r="H8" s="4" t="str">
        <f ca="1">IFERROR(__xludf.DUMMYFUNCTION("""COMPUTED_VALUE"""),"“We share your desire for a binding Asean code of conduct to ensure free 
and open navigation in the South China Sea,” he said.In a separate interview with The Washington Post, Pence said the US would 
not be intimidated by China.“We will not stand down.”"&amp;" he said. “We will continue to exercise freedom of 
navigation.”Chinese Premier Li Keqiang said countries in the region were able to manage 
territorial disputes as they were working towards a code of conduct to 
govern activity in the South China Sea.“We"&amp;" have found the way to properly manage and defuse differences,” he said.The situation was moving towards “greater stability” and progress was being 
made on a single draft text for a code of conduct for the sea, he said, 
adding that Beijing wanted to hav"&amp;"e a final agreement within three years.China and Asean already have a non-binding “declaration” for the waterway 
but are working towards a more robust agreement.Philippine President Rodrigo Duterte said that while a code of conduct for 
the South China S"&amp;"ea was needed “at all costs”, the threat of confrontation 
and trouble in the waterway came from outside the region.“Everything’s been excellent between China and the rest of Asean, except 
for the fact that there’s friction between Western nations and Ch"&amp;"ina,” he 
said as he headed into the summit.Despite Duterte comments, the Philippines has been one of the most vocal 
critics of China’s aggression in the sea, where it has built up military 
installations and other facilities. In 2016, the United Nations"&amp;" ruled in 
Manila’s favour on a dispute it had with Beijing over territorial rights.Away from the troubles of the South China Sea, Premier Li also called for 
China and Asean to boost regional investment and trade, and said the two 
sides had completed th"&amp;"e domestic procedures to upgrade their free-trade 
agreement.Additional reporting by Associated Press and BloombergThis article appeared in the South China Morning Post print edition as: 
Beijing and Asean stress commitment to conduct code")</f>
        <v>“We share your desire for a binding Asean code of conduct to ensure free 
and open navigation in the South China Sea,” he said.In a separate interview with The Washington Post, Pence said the US would 
not be intimidated by China.“We will not stand down.” he said. “We will continue to exercise freedom of 
navigation.”Chinese Premier Li Keqiang said countries in the region were able to manage 
territorial disputes as they were working towards a code of conduct to 
govern activity in the South China Sea.“We have found the way to properly manage and defuse differences,” he said.The situation was moving towards “greater stability” and progress was being 
made on a single draft text for a code of conduct for the sea, he said, 
adding that Beijing wanted to have a final agreement within three years.China and Asean already have a non-binding “declaration” for the waterway 
but are working towards a more robust agreement.Philippine President Rodrigo Duterte said that while a code of conduct for 
the South China Sea was needed “at all costs”, the threat of confrontation 
and trouble in the waterway came from outside the region.“Everything’s been excellent between China and the rest of Asean, except 
for the fact that there’s friction between Western nations and China,” he 
said as he headed into the summit.Despite Duterte comments, the Philippines has been one of the most vocal 
critics of China’s aggression in the sea, where it has built up military 
installations and other facilities. In 2016, the United Nations ruled in 
Manila’s favour on a dispute it had with Beijing over territorial rights.Away from the troubles of the South China Sea, Premier Li also called for 
China and Asean to boost regional investment and trade, and said the two 
sides had completed the domestic procedures to upgrade their free-trade 
agreement.Additional reporting by Associated Press and BloombergThis article appeared in the South China Morning Post print edition as: 
Beijing and Asean stress commitment to conduct code</v>
      </c>
      <c r="I8" s="4"/>
    </row>
    <row r="9" spans="1:9" ht="15.75" customHeight="1">
      <c r="A9" s="3">
        <v>11</v>
      </c>
      <c r="B9" s="3" t="s">
        <v>27</v>
      </c>
      <c r="C9" s="3" t="s">
        <v>28</v>
      </c>
      <c r="D9" s="6" t="s">
        <v>29</v>
      </c>
      <c r="E9" s="7" t="s">
        <v>30</v>
      </c>
      <c r="F9" s="8" t="str">
        <f t="shared" si="0"/>
        <v>https://webcache.googleusercontent.com/search?q=cache:https://www.scmp.com/news/china/military/article/2169727/china-embarks-first-joint-naval-drills-asean-us-tensions-simmer</v>
      </c>
      <c r="G9" s="3" t="str">
        <f ca="1">IFERROR(__xludf.DUMMYFUNCTION("IMPORTXML(F9,""/html/body/div[2]/div/div[1]/div/div/article/div/div/div/div[15]"")"),"China and Asean are holding their first joint naval exercises as Beijing 
targets stronger regional military ties and confronts a growing rivalry 
with the United States in the disputed South China Sea.The six-day China-Asean Maritime Exercise got under w"&amp;"ay in Zhanjiang in 
southern China’s Guangdong province on Monday and will include personnel 
from all 10 members of the Association of Southeast Asian Nations.The drills would involve eight ships, three helicopters and more than 1,200 
personnel in helic"&amp;"opter cross-deck landings and a joint search-and-rescue 
operation based on the Code for Unplanned Encounters at Sea, China News 
Service reported.")</f>
        <v>China and Asean are holding their first joint naval exercises as Beijing 
targets stronger regional military ties and confronts a growing rivalry 
with the United States in the disputed South China Sea.The six-day China-Asean Maritime Exercise got under way in Zhanjiang in 
southern China’s Guangdong province on Monday and will include personnel 
from all 10 members of the Association of Southeast Asian Nations.The drills would involve eight ships, three helicopters and more than 1,200 
personnel in helicopter cross-deck landings and a joint search-and-rescue 
operation based on the Code for Unplanned Encounters at Sea, China News 
Service reported.</v>
      </c>
      <c r="H9" s="4" t="str">
        <f ca="1">IFERROR(__xludf.DUMMYFUNCTION("""COMPUTED_VALUE"""),"Three Chinese vessels – the destroyer Guangzhou, the frigate Huangshan and 
the replenishment ship Junshanhu – would take part, the report.Singapore has sent its Formidable-class frigate RSS Stalwart, while Brunei 
has dispatched a patrol vessel and Thail"&amp;"and and Vietnam have each sent a 
frigate. Cambodia, Indonesia, Malaysia and Myanmar sent observers.{""@context"":""https://schema.org"",""@type"":""ImageObject"",""caption"":""Chinese 
navy personnel are taking part in navy exercises with Asean counterpa"&amp;"rts 
off Zhanjiang, Guangdong province. Photo: 
Handout"",""url"":""https://img.i-scmp.com/cdn-cgi/image/fit=contain,width=1024,format=auto/sites/default/files/images/methode/2018/10/23/9ec7843a-d5f2-11e8-a41d-3d2712b32637_1320x770_173703.JPG""}Chinese 
n"&amp;"avy personnel are taking part in navy exercises with Asean counterparts 
off Zhanjiang, Guangdong province. Photo: HandoutIn what is believed to be its first military drill with China after decades 
of strategic suspicion as well as the territorial confro"&amp;"ntation in the 
Spratly Islands, the Philippines sent the logistic support vessel BRP 
Dagupan City, according to an earlier report by the Philippine News Agency.Chinese Vice-Admiral Yuan Yubai, commander of the People Liberation Army 
Navy’s Southern The"&amp;"atre Command, said the joint exercise was a significant 
move towards regional security, collaboration and confidence-building.The drill was first proposed at the China-Asean defence ministers’ meeting 
in 2015 and comes as fears grow that China’s tension"&amp;"s with the US over 
trade and the South China Sea could affect Southeast Asia, where four Asean 
member-states – Malaysia, Vietnam, Brunei and the Philippines – have 
overlapping claims with China.US and Chinese air forces urged to sign up to South China "&amp;"Sea guidelines 
after Asean states agree on code of conductBeijing claims more than 80 per cent of the South China Sea and has 
cemented its military presence in the region by turning some contested 
reefs and shoals into military outposts.It has also sou"&amp;"ght to improve military ties with its Southeast Asian 
neighbours in recent years with joint drills and port calls.But it is facing greater challenges from Washington, which has also been 
more assertive in recent months about its “freedom of navigation” "&amp;"rights in 
and over the disputed waters.At a defence ministers’ meeting in Singapore on Friday, Asean and the US 
agreed to conduct a similar joint drills in the South China Sea next year.{""@context"":""https://schema.org"",""@type"":""ImageObject"",""ca"&amp;"ption"":""The 
China-Asean naval drills will take place over six days. Photo: 
Handout"",""url"":""https://img.i-scmp.com/cdn-cgi/image/fit=contain,width=1024,format=auto/sites/default/files/images/methode/2018/10/23/9e2d2b60-d5f2-11e8-a41d-3d2712b32637_1"&amp;"320x770_173703.JPG""}The 
China-Asean naval drills will take place over six days. Photo: HandoutObservers said this week’s joint exercise reflected the desire of regional 
players to improve trust with China but the event would be no more than 
symbolic.C"&amp;"ollin Koh, a research fellow at the S Rajaratnam School of International 
Studies at Nanyang Technological University in Singapore, said that while 
the drills could be seen as “a milestone” for PLA’s defence diplomacy, it 
was hard to see what the next s"&amp;"tep would be.“Because of the varying levels of capabilities and capacities amongst [the 
participating navies], it’s difficult to go further than what we deem as 
‘low-hanging fruit’ type of joint training topics that all participants can 
find acceptance"&amp;" in, without unnecessarily impinging upon political 
sensitivities,” Koh said.But he also said “Asean’s role appears to have been magnified in the 
defence diplomacy of both China and the US, not least because of the 
pivotal position of Southeast Asia in"&amp;" this whole Indo-Pacific construct”.US bomber mission over South China Sea risks inflaming tensions ahead of 
Asean defence summitXu Liping, a senior research fellow with the National Institute of 
International Strategy at the Chinese Academy of Social S"&amp;"ciences, said the 
US remained a “difficult challenger” to Beijing’s interests in the region.“Asean, with its traditional neutrality policy, will aim to balance its 
role between the US and China, but its [planned] joint drills with the US 
are more symbo"&amp;"lic,” Xu said.Huong Le Thu, a senior analyst from the Australian Strategic Policy 
Institute, said the drills were a signal that there is more open 
competition between great powers.“I think the drills and exercises with regional actors will only increase"&amp;" – 
this will become an important component of the great power competition.”Additional reporting by Kristin HuangThis article appeared in the South China Morning Post print edition as: 
China and Asean start first joint naval drills China and Asean start "&amp;"first 
joint naval drills")</f>
        <v>Three Chinese vessels – the destroyer Guangzhou, the frigate Huangshan and 
the replenishment ship Junshanhu – would take part, the report.Singapore has sent its Formidable-class frigate RSS Stalwart, while Brunei 
has dispatched a patrol vessel and Thailand and Vietnam have each sent a 
frigate. Cambodia, Indonesia, Malaysia and Myanmar sent observers.{"@context":"https://schema.org","@type":"ImageObject","caption":"Chinese 
navy personnel are taking part in navy exercises with Asean counterparts 
off Zhanjiang, Guangdong province. Photo: 
Handout","url":"https://img.i-scmp.com/cdn-cgi/image/fit=contain,width=1024,format=auto/sites/default/files/images/methode/2018/10/23/9ec7843a-d5f2-11e8-a41d-3d2712b32637_1320x770_173703.JPG"}Chinese 
navy personnel are taking part in navy exercises with Asean counterparts 
off Zhanjiang, Guangdong province. Photo: HandoutIn what is believed to be its first military drill with China after decades 
of strategic suspicion as well as the territorial confrontation in the 
Spratly Islands, the Philippines sent the logistic support vessel BRP 
Dagupan City, according to an earlier report by the Philippine News Agency.Chinese Vice-Admiral Yuan Yubai, commander of the People Liberation Army 
Navy’s Southern Theatre Command, said the joint exercise was a significant 
move towards regional security, collaboration and confidence-building.The drill was first proposed at the China-Asean defence ministers’ meeting 
in 2015 and comes as fears grow that China’s tensions with the US over 
trade and the South China Sea could affect Southeast Asia, where four Asean 
member-states – Malaysia, Vietnam, Brunei and the Philippines – have 
overlapping claims with China.US and Chinese air forces urged to sign up to South China Sea guidelines 
after Asean states agree on code of conductBeijing claims more than 80 per cent of the South China Sea and has 
cemented its military presence in the region by turning some contested 
reefs and shoals into military outposts.It has also sought to improve military ties with its Southeast Asian 
neighbours in recent years with joint drills and port calls.But it is facing greater challenges from Washington, which has also been 
more assertive in recent months about its “freedom of navigation” rights in 
and over the disputed waters.At a defence ministers’ meeting in Singapore on Friday, Asean and the US 
agreed to conduct a similar joint drills in the South China Sea next year.{"@context":"https://schema.org","@type":"ImageObject","caption":"The 
China-Asean naval drills will take place over six days. Photo: 
Handout","url":"https://img.i-scmp.com/cdn-cgi/image/fit=contain,width=1024,format=auto/sites/default/files/images/methode/2018/10/23/9e2d2b60-d5f2-11e8-a41d-3d2712b32637_1320x770_173703.JPG"}The 
China-Asean naval drills will take place over six days. Photo: HandoutObservers said this week’s joint exercise reflected the desire of regional 
players to improve trust with China but the event would be no more than 
symbolic.Collin Koh, a research fellow at the S Rajaratnam School of International 
Studies at Nanyang Technological University in Singapore, said that while 
the drills could be seen as “a milestone” for PLA’s defence diplomacy, it 
was hard to see what the next step would be.“Because of the varying levels of capabilities and capacities amongst [the 
participating navies], it’s difficult to go further than what we deem as 
‘low-hanging fruit’ type of joint training topics that all participants can 
find acceptance in, without unnecessarily impinging upon political 
sensitivities,” Koh said.But he also said “Asean’s role appears to have been magnified in the 
defence diplomacy of both China and the US, not least because of the 
pivotal position of Southeast Asia in this whole Indo-Pacific construct”.US bomber mission over South China Sea risks inflaming tensions ahead of 
Asean defence summitXu Liping, a senior research fellow with the National Institute of 
International Strategy at the Chinese Academy of Social Sciences, said the 
US remained a “difficult challenger” to Beijing’s interests in the region.“Asean, with its traditional neutrality policy, will aim to balance its 
role between the US and China, but its [planned] joint drills with the US 
are more symbolic,” Xu said.Huong Le Thu, a senior analyst from the Australian Strategic Policy 
Institute, said the drills were a signal that there is more open 
competition between great powers.“I think the drills and exercises with regional actors will only increase – 
this will become an important component of the great power competition.”Additional reporting by Kristin HuangThis article appeared in the South China Morning Post print edition as: 
China and Asean start first joint naval drills China and Asean start first 
joint naval drills</v>
      </c>
      <c r="I9" s="4"/>
    </row>
    <row r="10" spans="1:9" ht="15.75" customHeight="1">
      <c r="A10" s="3">
        <v>12</v>
      </c>
      <c r="B10" s="3" t="s">
        <v>31</v>
      </c>
      <c r="C10" s="3" t="s">
        <v>32</v>
      </c>
      <c r="D10" s="6" t="s">
        <v>33</v>
      </c>
      <c r="E10" s="7" t="s">
        <v>34</v>
      </c>
      <c r="F10" s="8" t="str">
        <f t="shared" si="0"/>
        <v>https://webcache.googleusercontent.com/search?q=cache:https://www.scmp.com/news/china/diplomacy/article/2169715/us-led-quad-coalition-useful-anti-china-bulwark-asia</v>
      </c>
      <c r="G10" s="3" t="str">
        <f ca="1">IFERROR(__xludf.DUMMYFUNCTION("IMPORTXML(F10,""/html/body/div[2]/div/div[1]/div/div/article/div/div/div/div[15]"")"),"A US-led, four-nation coalition could play a useful security role in Asia – 
particularly as a bulwark against China’s rising power – but should not be 
expanded, students, businesspeople and officials in 10 Asean countries have 
said, according to in a n"&amp;"ew survey.The report written by Huong Le Thu, a senior analyst from Canberra-based 
Australian Strategic Policy Institute, said there was near consensus among 
the 276 people surveyed that the Quad, or Quadrilateral Security Dialogue, 
should not seek to "&amp;"enlarge its membership beyond the United States, Japan, 
India and Australia.But the institute also said that Southeast Asian perceptions of the Quad 
were diverse and there was no such thing as one “Asean view” of the 
grouping.")</f>
        <v>A US-led, four-nation coalition could play a useful security role in Asia – 
particularly as a bulwark against China’s rising power – but should not be 
expanded, students, businesspeople and officials in 10 Asean countries have 
said, according to in a new survey.The report written by Huong Le Thu, a senior analyst from Canberra-based 
Australian Strategic Policy Institute, said there was near consensus among 
the 276 people surveyed that the Quad, or Quadrilateral Security Dialogue, 
should not seek to enlarge its membership beyond the United States, Japan, 
India and Australia.But the institute also said that Southeast Asian perceptions of the Quad 
were diverse and there was no such thing as one “Asean view” of the 
grouping.</v>
      </c>
      <c r="H10" s="4" t="str">
        <f ca="1">IFERROR(__xludf.DUMMYFUNCTION("""COMPUTED_VALUE"""),"The Quad was formed in November last year to patrol and exert influence on 
waterways in the Indian and Pacific oceans and the East and South China 
seas.﻿Watch: US and China military leaders meet for South China Sea talksIn its survey, the institute canv"&amp;"assed university students; officials from 
government agencies, the military, academia and think tanks; as well as 
businesspeople and members of the media in countries in the Association of 
Southeast Asian Nations (Asean).More than half of respondents a"&amp;"greed that the Quad was an “anti-China 
bulwark” and supported the idea of it having a useful role in regional 
security.Greatest support for the grouping was found among respondents from Vietnam 
and the Philippines, two of the biggest challengers to Chi"&amp;"na’s territorial 
claims in the South China Sea. Indonesian respondents were most sceptical 
and Singaporeans the least enthusiastic about the US-led coalition.Overall, 32 per cent of respondents welcomed the Quad and said it would 
make their countries s"&amp;"afer while 31 per cent said it could raise tensions 
in the region but would not affect their countries.Nearly 70 per cent said the Quad was expected to enforce a rules-based 
order, such as a 2016 Hague tribunal ruling that rejected almost all of 
China’"&amp;"s claims to the South China Sea, through which billions of dollars of 
international trade passes each year.And nearly 70 per cent respondents said the Quad would grow if China 
continued its assertiveness in the region, especially its maritime push.The i"&amp;"nstitute said the survey showed there was a significant need for 
Southeast Asia to have functional enforcement mechanisms and that was where 
the Quad could make its biggest contribution.The grouping of the four “like-minded” democracies was first mooted"&amp;" by 
Japanese Prime Minister Shinzo Abe in 2007, but Beijing protested, saying 
the defence partnership was aimed at stifling China’s growth.The idea made a sudden comeback when senior officials from the four nations 
met in Manila on November 11 on the s"&amp;"idelines of regional summits during US 
President Donald Trump’s maiden tour to East Asia.Observers said the revival of the concept highlighted deep suspicion and 
unease among China’s neighbours over Chinese President Xi Jinping’s 
ambitions for regional"&amp;" dominance.It also underscored growing regional competition between Beijing and 
Washington, they said.Analysts said the Quad meeting was not a coincidence given that Trump 
appeared keen to promote his Indo-Pacific concept as the cornerstone of his 
Asia"&amp;" strategy and worked hard to strengthen ties with its allies and 
partners, including India and Vietnam, to counterbalance China.")</f>
        <v>The Quad was formed in November last year to patrol and exert influence on 
waterways in the Indian and Pacific oceans and the East and South China 
seas.﻿Watch: US and China military leaders meet for South China Sea talksIn its survey, the institute canvassed university students; officials from 
government agencies, the military, academia and think tanks; as well as 
businesspeople and members of the media in countries in the Association of 
Southeast Asian Nations (Asean).More than half of respondents agreed that the Quad was an “anti-China 
bulwark” and supported the idea of it having a useful role in regional 
security.Greatest support for the grouping was found among respondents from Vietnam 
and the Philippines, two of the biggest challengers to China’s territorial 
claims in the South China Sea. Indonesian respondents were most sceptical 
and Singaporeans the least enthusiastic about the US-led coalition.Overall, 32 per cent of respondents welcomed the Quad and said it would 
make their countries safer while 31 per cent said it could raise tensions 
in the region but would not affect their countries.Nearly 70 per cent said the Quad was expected to enforce a rules-based 
order, such as a 2016 Hague tribunal ruling that rejected almost all of 
China’s claims to the South China Sea, through which billions of dollars of 
international trade passes each year.And nearly 70 per cent respondents said the Quad would grow if China 
continued its assertiveness in the region, especially its maritime push.The institute said the survey showed there was a significant need for 
Southeast Asia to have functional enforcement mechanisms and that was where 
the Quad could make its biggest contribution.The grouping of the four “like-minded” democracies was first mooted by 
Japanese Prime Minister Shinzo Abe in 2007, but Beijing protested, saying 
the defence partnership was aimed at stifling China’s growth.The idea made a sudden comeback when senior officials from the four nations 
met in Manila on November 11 on the sidelines of regional summits during US 
President Donald Trump’s maiden tour to East Asia.Observers said the revival of the concept highlighted deep suspicion and 
unease among China’s neighbours over Chinese President Xi Jinping’s 
ambitions for regional dominance.It also underscored growing regional competition between Beijing and 
Washington, they said.Analysts said the Quad meeting was not a coincidence given that Trump 
appeared keen to promote his Indo-Pacific concept as the cornerstone of his 
Asia strategy and worked hard to strengthen ties with its allies and 
partners, including India and Vietnam, to counterbalance China.</v>
      </c>
      <c r="I10" s="4"/>
    </row>
    <row r="11" spans="1:9" ht="15.75" customHeight="1">
      <c r="A11" s="3">
        <v>13</v>
      </c>
      <c r="B11" s="3" t="s">
        <v>35</v>
      </c>
      <c r="C11" s="3" t="s">
        <v>36</v>
      </c>
      <c r="D11" s="6" t="s">
        <v>37</v>
      </c>
      <c r="E11" s="7" t="s">
        <v>38</v>
      </c>
      <c r="F11" s="8" t="str">
        <f t="shared" si="0"/>
        <v>https://webcache.googleusercontent.com/search?q=cache:https://www.scmp.com/news/china/diplomacy/article/2169002/south-china-sea-beijings-top-foreign-policy-priority-us-think</v>
      </c>
      <c r="G11" s="3" t="str">
        <f ca="1">IFERROR(__xludf.DUMMYFUNCTION("IMPORTXML(F11,""/html/body/div[2]/div/div[1]/div/div/article/div/div/div/div[15]"")"),"#N/A")</f>
        <v>#N/A</v>
      </c>
    </row>
    <row r="12" spans="1:9" ht="15.75" customHeight="1">
      <c r="A12" s="3">
        <v>14</v>
      </c>
      <c r="B12" s="3" t="s">
        <v>39</v>
      </c>
      <c r="C12" s="3" t="s">
        <v>40</v>
      </c>
      <c r="D12" s="6" t="s">
        <v>41</v>
      </c>
      <c r="E12" s="7" t="s">
        <v>42</v>
      </c>
      <c r="F12" s="8" t="str">
        <f t="shared" si="0"/>
        <v>https://webcache.googleusercontent.com/search?q=cache:https://www.scmp.com/week-asia/geopolitics/article/2106469/asean-and-china-have-moved-ondidnt-vietnam-get-memo</v>
      </c>
      <c r="G12" s="3" t="str">
        <f ca="1">IFERROR(__xludf.DUMMYFUNCTION("IMPORTXML(F12,""/html/body/div[2]/div/div[1]/div/div/article/div/div/div/div[15]"")"),"#N/A")</f>
        <v>#N/A</v>
      </c>
    </row>
    <row r="13" spans="1:9" ht="15.75" customHeight="1">
      <c r="A13" s="3">
        <v>15</v>
      </c>
      <c r="B13" s="3" t="s">
        <v>43</v>
      </c>
      <c r="C13" s="3" t="s">
        <v>44</v>
      </c>
      <c r="D13" s="6" t="s">
        <v>45</v>
      </c>
      <c r="E13" s="7" t="s">
        <v>46</v>
      </c>
      <c r="F13" s="8" t="str">
        <f t="shared" si="0"/>
        <v>https://webcache.googleusercontent.com/search?q=cache:https://www.scmp.com/week-asia/article/2186449/explained-south-china-sea-dispute</v>
      </c>
      <c r="G13" s="3" t="str">
        <f ca="1">IFERROR(__xludf.DUMMYFUNCTION("IMPORTXML(F13,""/html/body/div[2]/div/div[1]/div/div/article/div/div/div/div[15]"")"),"This explainer was updated in August 2020 to reflect latest developments in 
the territorial dispute involving China and several Asean states, and the 
United States’ rejection of most of China’s claims in the strategic 
waterway.The South China Sea, one "&amp;"of the world’s busiest waterways, is the site of 
long-simmering territorial disputes and increasingly frequent military 
drills by American and Chinese forces.The overlapping claims of China, Vietnam, the Philippines, Taiwan, Malaysia 
and Brunei have re"&amp;"mained unresolved for decades. Amid these conflicts, and 
as tensions between Beijing and Washington rumble on, the Trump 
administration upped the ante in July by issuing a direct challenge to 
China’s claims in resource-rich waters, calling them “comple"&amp;"tely unlawful”.Conflicting claims in the South China SeaThe Association of Southeast Asian Nations (Asean) and several Southeast 
Asian nations have also used stronger language against China’s claims this 
year, and highlighted that the United Nations Con"&amp;"vention for the Law of the 
Sea (Unclos) should be the basis for resolving the long-standing row.What is the conflict about?The Philippines, Vietnam, China, Brunei, Taiwan and Malaysia hold 
different, sometimes overlapping, territorial claims over land f"&amp;"eatures in 
the sea, based on various historical and geographical accounts. The 
territorial dispute over the land features in turn has given rise to 
sharply different views among the countries about their maritime rights.")</f>
        <v>This explainer was updated in August 2020 to reflect latest developments in 
the territorial dispute involving China and several Asean states, and the 
United States’ rejection of most of China’s claims in the strategic 
waterway.The South China Sea, one of the world’s busiest waterways, is the site of 
long-simmering territorial disputes and increasingly frequent military 
drills by American and Chinese forces.The overlapping claims of China, Vietnam, the Philippines, Taiwan, Malaysia 
and Brunei have remained unresolved for decades. Amid these conflicts, and 
as tensions between Beijing and Washington rumble on, the Trump 
administration upped the ante in July by issuing a direct challenge to 
China’s claims in resource-rich waters, calling them “completely unlawful”.Conflicting claims in the South China SeaThe Association of Southeast Asian Nations (Asean) and several Southeast 
Asian nations have also used stronger language against China’s claims this 
year, and highlighted that the United Nations Convention for the Law of the 
Sea (Unclos) should be the basis for resolving the long-standing row.What is the conflict about?The Philippines, Vietnam, China, Brunei, Taiwan and Malaysia hold 
different, sometimes overlapping, territorial claims over land features in 
the sea, based on various historical and geographical accounts. The 
territorial dispute over the land features in turn has given rise to 
sharply different views among the countries about their maritime rights.</v>
      </c>
      <c r="H13" s="4" t="s">
        <v>566</v>
      </c>
      <c r="I13" s="4"/>
    </row>
    <row r="14" spans="1:9" ht="15.75" customHeight="1">
      <c r="A14" s="3">
        <v>16</v>
      </c>
      <c r="B14" s="3" t="s">
        <v>47</v>
      </c>
      <c r="C14" s="3" t="s">
        <v>48</v>
      </c>
      <c r="D14" s="6" t="s">
        <v>49</v>
      </c>
      <c r="E14" s="7" t="s">
        <v>50</v>
      </c>
      <c r="F14" s="8" t="str">
        <f t="shared" si="0"/>
        <v>https://webcache.googleusercontent.com/search?q=cache:https://www.scmp.com/week-asia/geopolitics/article/3011747/south-china-sea-asean-has-choice-asian-values-or-rule-law</v>
      </c>
      <c r="G14" s="3" t="str">
        <f ca="1">IFERROR(__xludf.DUMMYFUNCTION("IMPORTXML(F14,""/html/body/div[2]/div/div[1]/div/div/article/div/div/div/div[15]"")"),"#N/A")</f>
        <v>#N/A</v>
      </c>
    </row>
    <row r="15" spans="1:9" ht="15.75" customHeight="1">
      <c r="A15" s="3">
        <v>17</v>
      </c>
      <c r="B15" s="3" t="s">
        <v>51</v>
      </c>
      <c r="C15" s="3" t="s">
        <v>52</v>
      </c>
      <c r="D15" s="6" t="s">
        <v>53</v>
      </c>
      <c r="E15" s="5" t="s">
        <v>54</v>
      </c>
      <c r="F15" s="8" t="str">
        <f t="shared" si="0"/>
        <v>https://webcache.googleusercontent.com/search?q=cache:https://www.scmp.com/news/china/diplomacy/article/3105928/south-china-sea-beijing-will-need-more-charm-win-over-asean</v>
      </c>
      <c r="G15" s="3" t="str">
        <f ca="1">IFERROR(__xludf.DUMMYFUNCTION("IMPORTXML(F15,""/html/body/div[2]/div/div[1]/div/div/article/div/div/div/div[15]"")"),"Beijing has been on a major charm offensive in Southeast Asia in recent 
weeks, but observers say it still has a long way to go to build trust in 
the region, given its multiple disputes with rival claimants to 
territorial, fishing and exploration rights"&amp;" in the South China Sea.“Southeast Asia is important to China not just for its individual countries 
but for the strategic significance of Asean [the Association of Southeast 
Asian Nations],” said Li Mingjiang, an associate professor at the S. 
Rajaratna"&amp;"m School of International Studies at Nanyang Technological 
University in Singapore.Preventing the 10-nation bloc from pivoting towards the United States, 
rather than China, on key strategic issues was of huge importance to 
Beijing, he said.")</f>
        <v>Beijing has been on a major charm offensive in Southeast Asia in recent 
weeks, but observers say it still has a long way to go to build trust in 
the region, given its multiple disputes with rival claimants to 
territorial, fishing and exploration rights in the South China Sea.“Southeast Asia is important to China not just for its individual countries 
but for the strategic significance of Asean [the Association of Southeast 
Asian Nations],” said Li Mingjiang, an associate professor at the S. 
Rajaratnam School of International Studies at Nanyang Technological 
University in Singapore.Preventing the 10-nation bloc from pivoting towards the United States, 
rather than China, on key strategic issues was of huge importance to 
Beijing, he said.</v>
      </c>
      <c r="H15" s="4" t="str">
        <f ca="1">IFERROR(__xludf.DUMMYFUNCTION("""COMPUTED_VALUE"""),"But its disputes with Asean members is making that task more difficult.Last week, the head of the Philippine Navy, vice-admiral Giovanni Carlo 
Bacordo, said he was preparing to dispatch more than 200 militiamen to 
protect the country’s fishermen near th"&amp;"e Spratly Islands in the South China 
Sea in response to increased activity by Chinese militia there.His statement came just days after Chinese Foreign Minister Wang Yi, in a 
meeting with his Philippine counterpart Teodoro Locsin, pledged Beijing’s 
supp"&amp;"ort for Philippine President Rodrigo Duterte’s “Build Build Build” 
economic and infrastructure programme.Since the beginning of last month, Wang and his colleagues, State 
Councillor Yang Jiechi and Defence Minister Wei Fenghe, have visited nine 
of the "&amp;"Asean’s 10 countries, with Vietnam being the only one to miss out.On their travels, the Chinese leaders reiterated Beijing’s commitment to 
provide Covid-19 vaccines to Asean members once they became available and 
signed off on two-way deals with individ"&amp;"ual states. These included a 
free-trade agreement with Cambodia, a deal to buy 1.7 million tonnes of 
palm oil from Malaysia, a lowering of duty levels on selected imports from 
Laos, and providing a 200 million yuan (US$29.8 million) grant to Rakhine 
s"&amp;"tate in Myanmar.Regardless of those gestures, China remains in dispute with five Asean 
nations – Vietnam, the Philippines, Malaysia, Brunei and Indonesia – in the 
South China Sea. Besides its huge regional significance, the waterway is 
one of the world"&amp;"’s busiest trade routes and that geopolitical value makes 
it a potential flashpoint for an armed conflict between the United States 
and China.Countries within Southeast Asia have been watching closely as Beijing and 
Washington have battled on issues as"&amp;" diverse as trade and technology, Hong 
Kong and human rights.Despite the best efforts of China and the US to curry favour in Southeast 
Asia, as a group Asean was unlikely to be swayed one way or another, Li 
said.Because of its hedging strategy, “[Asean"&amp;"] is unlikely to make a significant 
policy shift and take sides, no matter how hard China, Japan or the US 
tries”, he said.“And it will be very difficult to ease the concerns [some of its members] 
have regarding China.”Huong Le Thu, a senior analyst at"&amp;" the Australian Strategic Policy Institute 
in Canberra, said Beijing would find it most difficult to build ties with 
nations with which it was in dispute in the South China Sea, and Vietnam in 
particular.“I don’t think China’s charm offensive will work"&amp;" on Vietnam. It was never 
very successful,” she said.“The official gestures may have better effect in other Southeast Asian 
countries that don’t have active disputes.”Li said the poor state of relations between Beijing and Hanoi would make it 
even hard"&amp;"er for China to nurture ties with Asean this year, as Vietnam was 
the current chair of the bloc.“Vietnam has an opportunity to push Asean to take a stronger position 
against China,” he said.While Beijing’s charm offensive was unlikely to result in any s"&amp;"ignificant 
change in how Beijing was perceived by Asean, it might at least help to 
offset Washington’s efforts to promote its message in the region, Li said.It was a matter of “damage control”, he said, and could help China to 
“deliver a message to tho"&amp;"se countries that are not already tied to the US 
on strategic issues”.During a meeting with his Malaysian counterpart in Kuala Lumpur on Tuesday, 
Wang Yi issued a rare public criticism of the regional security grouping of 
the US, Japan, Australia and I"&amp;"ndia.The so-called Quad was part of Washington’s effort to build an 
“Indo-Pacific Nato” and would severely undermine regional security, he said.While it remained to be seen how far the US-led security initiative would 
develop, Le Thu said Beijing had re"&amp;"ason to be concerned.“The concept [of an Indo-Pacific Nato] has struggled to gain support so far 
but if the geopolitical reality deteriorates further, it is not an 
inconceivable option,” she said.This article appeared in the South China Morning Post pri"&amp;"nt edition as: 
China has way to go in Building Asean trust")</f>
        <v>But its disputes with Asean members is making that task more difficult.Last week, the head of the Philippine Navy, vice-admiral Giovanni Carlo 
Bacordo, said he was preparing to dispatch more than 200 militiamen to 
protect the country’s fishermen near the Spratly Islands in the South China 
Sea in response to increased activity by Chinese militia there.His statement came just days after Chinese Foreign Minister Wang Yi, in a 
meeting with his Philippine counterpart Teodoro Locsin, pledged Beijing’s 
support for Philippine President Rodrigo Duterte’s “Build Build Build” 
economic and infrastructure programme.Since the beginning of last month, Wang and his colleagues, State 
Councillor Yang Jiechi and Defence Minister Wei Fenghe, have visited nine 
of the Asean’s 10 countries, with Vietnam being the only one to miss out.On their travels, the Chinese leaders reiterated Beijing’s commitment to 
provide Covid-19 vaccines to Asean members once they became available and 
signed off on two-way deals with individual states. These included a 
free-trade agreement with Cambodia, a deal to buy 1.7 million tonnes of 
palm oil from Malaysia, a lowering of duty levels on selected imports from 
Laos, and providing a 200 million yuan (US$29.8 million) grant to Rakhine 
state in Myanmar.Regardless of those gestures, China remains in dispute with five Asean 
nations – Vietnam, the Philippines, Malaysia, Brunei and Indonesia – in the 
South China Sea. Besides its huge regional significance, the waterway is 
one of the world’s busiest trade routes and that geopolitical value makes 
it a potential flashpoint for an armed conflict between the United States 
and China.Countries within Southeast Asia have been watching closely as Beijing and 
Washington have battled on issues as diverse as trade and technology, Hong 
Kong and human rights.Despite the best efforts of China and the US to curry favour in Southeast 
Asia, as a group Asean was unlikely to be swayed one way or another, Li 
said.Because of its hedging strategy, “[Asean] is unlikely to make a significant 
policy shift and take sides, no matter how hard China, Japan or the US 
tries”, he said.“And it will be very difficult to ease the concerns [some of its members] 
have regarding China.”Huong Le Thu, a senior analyst at the Australian Strategic Policy Institute 
in Canberra, said Beijing would find it most difficult to build ties with 
nations with which it was in dispute in the South China Sea, and Vietnam in 
particular.“I don’t think China’s charm offensive will work on Vietnam. It was never 
very successful,” she said.“The official gestures may have better effect in other Southeast Asian 
countries that don’t have active disputes.”Li said the poor state of relations between Beijing and Hanoi would make it 
even harder for China to nurture ties with Asean this year, as Vietnam was 
the current chair of the bloc.“Vietnam has an opportunity to push Asean to take a stronger position 
against China,” he said.While Beijing’s charm offensive was unlikely to result in any significant 
change in how Beijing was perceived by Asean, it might at least help to 
offset Washington’s efforts to promote its message in the region, Li said.It was a matter of “damage control”, he said, and could help China to 
“deliver a message to those countries that are not already tied to the US 
on strategic issues”.During a meeting with his Malaysian counterpart in Kuala Lumpur on Tuesday, 
Wang Yi issued a rare public criticism of the regional security grouping of 
the US, Japan, Australia and India.The so-called Quad was part of Washington’s effort to build an 
“Indo-Pacific Nato” and would severely undermine regional security, he said.While it remained to be seen how far the US-led security initiative would 
develop, Le Thu said Beijing had reason to be concerned.“The concept [of an Indo-Pacific Nato] has struggled to gain support so far 
but if the geopolitical reality deteriorates further, it is not an 
inconceivable option,” she said.This article appeared in the South China Morning Post print edition as: 
China has way to go in Building Asean trust</v>
      </c>
      <c r="I15" s="4"/>
    </row>
    <row r="16" spans="1:9" ht="15.75" customHeight="1">
      <c r="A16" s="3">
        <v>18</v>
      </c>
      <c r="B16" s="3" t="s">
        <v>55</v>
      </c>
      <c r="C16" s="3" t="s">
        <v>56</v>
      </c>
      <c r="D16" s="6" t="s">
        <v>57</v>
      </c>
      <c r="E16" s="7" t="s">
        <v>58</v>
      </c>
      <c r="F16" s="8" t="str">
        <f t="shared" si="0"/>
        <v>https://webcache.googleusercontent.com/search?q=cache:https://www.scmp.com/news/china/diplomacy/article/3143742/beijing-and-aseans-long-awaited-south-china-sea-code-conduct</v>
      </c>
      <c r="G16" s="3" t="str">
        <f ca="1">IFERROR(__xludf.DUMMYFUNCTION("IMPORTXML(F16,""/html/body/div[2]/div/div[1]/div/div/article/div/div/div/div[15]"")"),"China and the Asean nations have agreed on part of the text of the 
long-waited code of conduct for the South China Sea, Chinese Foreign 
Minister Wang Yi said in an address in which he described the US as “the 
biggest troublemaker” in the disputed water"&amp;"way.During a virtual summit with his counterparts from the 10-member 
Association of Southeast Asian Nations on Tuesday, Wang also warned against 
“external interference” in the South China Sea, in a pointed rebuke to the 
US. Up to a third of world trade"&amp;" passes through the contentious waters, 
which are subject to a number of competing claims.The resumed negotiations on the code of conduct – including agreement on 
its preface – “demonstrated once again that as long as the common political 
will to move "&amp;"forward with consultations is maintained, no difficulty can 
stand in our way, whether it be a raging epidemic or external 
interference,” Wang said, according to a Chinese foreign ministry readout.Wang said Beijing would never make further claims in the "&amp;"South China Sea 
and promised that China would not take any unilateral moves to intensify 
disputes over the waterway.")</f>
        <v>China and the Asean nations have agreed on part of the text of the 
long-waited code of conduct for the South China Sea, Chinese Foreign 
Minister Wang Yi said in an address in which he described the US as “the 
biggest troublemaker” in the disputed waterway.During a virtual summit with his counterparts from the 10-member 
Association of Southeast Asian Nations on Tuesday, Wang also warned against 
“external interference” in the South China Sea, in a pointed rebuke to the 
US. Up to a third of world trade passes through the contentious waters, 
which are subject to a number of competing claims.The resumed negotiations on the code of conduct – including agreement on 
its preface – “demonstrated once again that as long as the common political 
will to move forward with consultations is maintained, no difficulty can 
stand in our way, whether it be a raging epidemic or external 
interference,” Wang said, according to a Chinese foreign ministry readout.Wang said Beijing would never make further claims in the South China Sea 
and promised that China would not take any unilateral moves to intensify 
disputes over the waterway.</v>
      </c>
      <c r="H16" s="4" t="str">
        <f ca="1">IFERROR(__xludf.DUMMYFUNCTION("""COMPUTED_VALUE"""),"“At the same time, we must be vigilant that individual extra-regional 
countries are openly intervening in territorial and maritime disputes in 
the region, sowing discord between China and Asean countries, sending a 
large number of advanced ships and ai"&amp;"rcraft to provoke around, and have 
become the biggest spoilers of peace and stability in the South China Sea,” 
he said.{""@context"":""https://schema.org"",""@type"":""ImageObject"",""caption"":""Chinese 
Foreign Minister Wang Yi addresses his Asean cou"&amp;"nterparts via video link. 
Photo: 
Handout"",""url"":""https://img.i-scmp.com/cdn-cgi/image/fit=contain,width=1024,format=auto/sites/default/files/d8/images/methode/2021/08/04/e89b27be-f4d6-11eb-97f9-89051db5b6c1_1320x770_161448.jpeg""}Chinese 
Foreign Mi"&amp;"nister Wang Yi addresses his Asean counterparts via video link. 
Photo: Handout“The South China Sea is not, and should not become, a gladiatorial arena 
for great power games, and we cannot allow them to undermine the good 
situation of peace and stabilit"&amp;"y in the region.”Wang said that as close neighbours, China was committed to stand with Asean 
countries in the fight against the Covid-19 pandemic and would continue to 
support Asean’s centrality. So far China has supplied more than 190 million 
doses of"&amp;" Covid-19 vaccines to the region.Southeast Asia has emerged as an arena for the strategic competition 
between China and the US, with both sides stepping up their engagement with 
regional players. 
{""@context"":""https://schema.org"",""@type"":""VideoOb"&amp;"ject"",""contentUrl"":""https://www.youtube.com/embed/8eqtl0ym1p8?wmode=transparent&amp;jqoemcache=UdCOW&amp;enablejsapi=1&amp;playsinline=1"",""description"":""The 
South China Sea dispute 
explained"",""duration"":""PT3M23S"",""embedUrl"":""https://www.scmp.com/new"&amp;"s/china/diplomacy/article/3143742/beijing-and-aseans-long-awaited-south-china-sea-code-conduct"",""name"":""The 
South China Sea dispute 
explained"",""thumbnailUrl"":[""https://cdn1.i-scmp.com/sites/default/files/video/thumbnail/thumbnail_44.jpg"",""http"&amp;"s://cdn2.i-scmp.com/sites/default/files/styles/wide_landscape/public/video/thumbnail/thumbnail_44.jpg?itok=-ZdnDSYq"",""https://cdn1.i-scmp.com/sites/default/files/styles/768x768/public/video/thumbnail/thumbnail_44.jpg?itok=kkI1LyEO""],""uploadDate"":""20"&amp;"21-08-04T04:56:30.000Z""}{""@context"":""https://schema.org"",""@type"":""ImageObject"",""url"":""https://cdn2.i-scmp.com/sites/default/files/styles/wide_landscape/public/video/thumbnail/thumbnail_44.jpg?itok=-ZdnDSYq""}03:23The 
South China Sea dispute e"&amp;"xplainedThe South China Sea dispute explainedLast week, US Defence Secretary Lloyd Austin became the first cabinet 
minister from the Joe Biden administration to visit the region. Later this 
month, vice-president Kamala Harris is expected to become Biden"&amp;"’s 
highest-ranking official to tour Asia, when she makes her first official 
visit to Singapore and Vietnam. She will also become the only US 
vice-president to visit Vietnam.Harris’ office said her trip would “build on the Biden-Harris 
administration’s"&amp;" message to the world: America is back”. The visit is aimed 
at rallying international support to counter China’s growing global 
influence.“We do not want to see any country dominate that region or take advantage 
of the power situation to compromise the"&amp;" sovereignty of others,” a senior 
White House official said. “The vice-president is going to underscore that 
there should be free passage for trade, throughout the South China Sea, and 
no single country should disrespect the right of others.”{""@contex"&amp;"t"":""https://schema.org"",""@type"":""ImageObject"",""url"":""https://img.i-scmp.com/cdn-cgi/image/fit=contain,width=1024,format=auto/sites/default/files/d8/images/methode/2021/08/04/a98fc0b0-f4d2-11eb-97f9-89051db5b6c1_972x_161448.jpg""}On Tuesday, US S"&amp;"ecretary of State Antony Blinken announced the launch of a 
“strategic dialogue” with Indonesia during his meeting in Washington with 
Retno Marsudi, the Indonesian foreign minister. The two countries also 
committed to work closely on the fight against C"&amp;"ovid-19, as well as 
strengthening their trade and economic ties, and defending freedom of 
navigation in the South China Sea.Blinken is also set to join five virtual summits with his Asean 
counterparts this week, when he is expected to raise concerns ab"&amp;"out China’s 
human rights record and “coercion” in the South China Sea, according to the 
US State Department.Beijing has pushed hard for a quick conclusion of the code of conduct, 
which it said could regulate the activities of China and Asean members an"&amp;"d 
avoid conflicts in the South China Sea.The framework for a code of conduct was agreed in 2017, although the 
decision to keep the draft text private was criticised as an effort by 
Beijing to block the US from getting involved. Most of the resource-ric"&amp;"h 
waterway is claimed by China, but this is contested by Asean members 
Vietnam, the Philippines, Brunei and Malaysia.Diplomats from China and the Asean countries completed a first reading of 
the code’s draft negotiating text in July 2019, a move that B"&amp;"eijing touted 
as “major progress”. Since then, there has been no significant movement – 
mostly because of the pandemic, which made face-to-face talks more 
difficult.The two sides held their first senior officials’ meeting since the outbreak 
to negotia"&amp;"te further progress on the code of conduct in June.Additional reporting by ReutersThis article appeared in the South China Morning Post print edition as: 
some progress on South China Sea code")</f>
        <v>“At the same time, we must be vigilant that individual extra-regional 
countries are openly intervening in territorial and maritime disputes in 
the region, sowing discord between China and Asean countries, sending a 
large number of advanced ships and aircraft to provoke around, and have 
become the biggest spoilers of peace and stability in the South China Sea,” 
he said.{"@context":"https://schema.org","@type":"ImageObject","caption":"Chinese 
Foreign Minister Wang Yi addresses his Asean counterparts via video link. 
Photo: 
Handout","url":"https://img.i-scmp.com/cdn-cgi/image/fit=contain,width=1024,format=auto/sites/default/files/d8/images/methode/2021/08/04/e89b27be-f4d6-11eb-97f9-89051db5b6c1_1320x770_161448.jpeg"}Chinese 
Foreign Minister Wang Yi addresses his Asean counterparts via video link. 
Photo: Handout“The South China Sea is not, and should not become, a gladiatorial arena 
for great power games, and we cannot allow them to undermine the good 
situation of peace and stability in the region.”Wang said that as close neighbours, China was committed to stand with Asean 
countries in the fight against the Covid-19 pandemic and would continue to 
support Asean’s centrality. So far China has supplied more than 190 million 
doses of Covid-19 vaccines to the region.Southeast Asia has emerged as an arena for the strategic competition 
between China and the US, with both sides stepping up their engagement with 
regional players. 
{"@context":"https://schema.org","@type":"VideoObject","contentUrl":"https://www.youtube.com/embed/8eqtl0ym1p8?wmode=transparent&amp;jqoemcache=UdCOW&amp;enablejsapi=1&amp;playsinline=1","description":"The 
South China Sea dispute 
explained","duration":"PT3M23S","embedUrl":"https://www.scmp.com/news/china/diplomacy/article/3143742/beijing-and-aseans-long-awaited-south-china-sea-code-conduct","name":"The 
South China Sea dispute 
explained","thumbnailUrl":["https://cdn1.i-scmp.com/sites/default/files/video/thumbnail/thumbnail_44.jpg","https://cdn2.i-scmp.com/sites/default/files/styles/wide_landscape/public/video/thumbnail/thumbnail_44.jpg?itok=-ZdnDSYq","https://cdn1.i-scmp.com/sites/default/files/styles/768x768/public/video/thumbnail/thumbnail_44.jpg?itok=kkI1LyEO"],"uploadDate":"2021-08-04T04:56:30.000Z"}{"@context":"https://schema.org","@type":"ImageObject","url":"https://cdn2.i-scmp.com/sites/default/files/styles/wide_landscape/public/video/thumbnail/thumbnail_44.jpg?itok=-ZdnDSYq"}03:23The 
South China Sea dispute explainedThe South China Sea dispute explainedLast week, US Defence Secretary Lloyd Austin became the first cabinet 
minister from the Joe Biden administration to visit the region. Later this 
month, vice-president Kamala Harris is expected to become Biden’s 
highest-ranking official to tour Asia, when she makes her first official 
visit to Singapore and Vietnam. She will also become the only US 
vice-president to visit Vietnam.Harris’ office said her trip would “build on the Biden-Harris 
administration’s message to the world: America is back”. The visit is aimed 
at rallying international support to counter China’s growing global 
influence.“We do not want to see any country dominate that region or take advantage 
of the power situation to compromise the sovereignty of others,” a senior 
White House official said. “The vice-president is going to underscore that 
there should be free passage for trade, throughout the South China Sea, and 
no single country should disrespect the right of others.”{"@context":"https://schema.org","@type":"ImageObject","url":"https://img.i-scmp.com/cdn-cgi/image/fit=contain,width=1024,format=auto/sites/default/files/d8/images/methode/2021/08/04/a98fc0b0-f4d2-11eb-97f9-89051db5b6c1_972x_161448.jpg"}On Tuesday, US Secretary of State Antony Blinken announced the launch of a 
“strategic dialogue” with Indonesia during his meeting in Washington with 
Retno Marsudi, the Indonesian foreign minister. The two countries also 
committed to work closely on the fight against Covid-19, as well as 
strengthening their trade and economic ties, and defending freedom of 
navigation in the South China Sea.Blinken is also set to join five virtual summits with his Asean 
counterparts this week, when he is expected to raise concerns about China’s 
human rights record and “coercion” in the South China Sea, according to the 
US State Department.Beijing has pushed hard for a quick conclusion of the code of conduct, 
which it said could regulate the activities of China and Asean members and 
avoid conflicts in the South China Sea.The framework for a code of conduct was agreed in 2017, although the 
decision to keep the draft text private was criticised as an effort by 
Beijing to block the US from getting involved. Most of the resource-rich 
waterway is claimed by China, but this is contested by Asean members 
Vietnam, the Philippines, Brunei and Malaysia.Diplomats from China and the Asean countries completed a first reading of 
the code’s draft negotiating text in July 2019, a move that Beijing touted 
as “major progress”. Since then, there has been no significant movement – 
mostly because of the pandemic, which made face-to-face talks more 
difficult.The two sides held their first senior officials’ meeting since the outbreak 
to negotiate further progress on the code of conduct in June.Additional reporting by ReutersThis article appeared in the South China Morning Post print edition as: 
some progress on South China Sea code</v>
      </c>
      <c r="I16" s="4"/>
    </row>
    <row r="17" spans="1:9" ht="15.75" customHeight="1">
      <c r="A17" s="3">
        <v>19</v>
      </c>
      <c r="B17" s="3" t="s">
        <v>59</v>
      </c>
      <c r="C17" s="3" t="s">
        <v>60</v>
      </c>
      <c r="D17" s="6" t="s">
        <v>61</v>
      </c>
      <c r="E17" s="7" t="s">
        <v>62</v>
      </c>
      <c r="F17" s="8" t="str">
        <f t="shared" si="0"/>
        <v>https://webcache.googleusercontent.com/search?q=cache:https://www.scmp.com/news/china/diplomacy/article/3081275/beijing-could-face-aseans-wrath-over-naming-and-claiming-south</v>
      </c>
      <c r="G17" s="3" t="str">
        <f ca="1">IFERROR(__xludf.DUMMYFUNCTION("IMPORTXML(F17,""/html/body/div[2]/div/div[1]/div/div/article/div/div/div/div[15]"")"),"China’s naming of, and effectively claiming, 80 geographical features in 
the disputed South China Sea might be a breach of international law, and 
could trigger a backlash from its Southeast Asian neighbours, analysts have 
warned.Over the weekend, Beiji"&amp;"ng gave names to 25 islands, shoals and reefs, and 
55 undersea mountains and ridges. The last time it made such a move was in 
1983, when it identified 287 features in the region where several nations 
hold competing territorial claims.While it is perfec"&amp;"tly acceptable for countries and marine scientists to 
give names to geographical features, the UN Convention on the Law of the 
Sea states that nations cannot claim sovereignty over an underwater feature 
unless it is within 12 nautical miles of a land f"&amp;"eature.")</f>
        <v>China’s naming of, and effectively claiming, 80 geographical features in 
the disputed South China Sea might be a breach of international law, and 
could trigger a backlash from its Southeast Asian neighbours, analysts have 
warned.Over the weekend, Beijing gave names to 25 islands, shoals and reefs, and 
55 undersea mountains and ridges. The last time it made such a move was in 
1983, when it identified 287 features in the region where several nations 
hold competing territorial claims.While it is perfectly acceptable for countries and marine scientists to 
give names to geographical features, the UN Convention on the Law of the 
Sea states that nations cannot claim sovereignty over an underwater feature 
unless it is within 12 nautical miles of a land feature.</v>
      </c>
      <c r="H17" s="4" t="str">
        <f ca="1">IFERROR(__xludf.DUMMYFUNCTION("""COMPUTED_VALUE"""),"The 80 topographical formations identified by Beijing over the weekend 
comprised 10 sandbars and two small reefs in the Paracel Island chain that 
were previously unnamed, 13 smaller reefs, described as “features”, around 
West Reef, which is currently o"&amp;"ccupied by Vietnam, and 55 underwater 
features spread across the South China Sea.{""@context"":""https://schema.org"",""@type"":""ImageObject"",""caption"":""The UN 
Convention on the Law of the Sea states that nations cannot claim 
sovereignty over an u"&amp;"nderwater feature unless it is within 12 nautical 
miles of a land feature. Photo: 
EPA-EFE"",""url"":""https://img.i-scmp.com/cdn-cgi/image/fit=contain,width=1024,format=auto/sites/default/files/d8/images/methode/2020/04/27/8ecb8322-82dc-11ea-8863-2139a1"&amp;"4b0dea_1320x770_120032.JPG""}The 
UN Convention on the Law of the Sea states that nations cannot claim 
sovereignty over an underwater feature unless it is within 12 nautical 
miles of a land feature. Photo: EPA-EFEGregory Poling, director of the Washingt"&amp;"on-based Asia Maritime Transparency 
Initiative – a platform for information about maritime security issues 
across Asia – said Beijing’s move to name the South China Sea features was 
unusual and possibly in breach of international law.“It’s unclear why "&amp;"China decided to give 13 points around the edge of the 
[West] reef new names. There is no other reef in the South China Sea that 
it has treated that way,” he said.“And features of the seabed are not open to claims of sovereignty under 
international law"&amp;".”Despite the rival views of Vietnam, the Philippines, Malaysia and others, 
Beijing has repeatedly asserted its claim to about 90 per cent of the sea, 
which is one of the world’s busiest trade routes and has huge geopolitical 
significance.Over the past"&amp;" six years, it has sought to bolster that claim by creating 
several artificial islands and developing infrastructure for possible 
military use, much to the consternation of the international community.Jay Batongbacal, an associate professor at the Unive"&amp;"rsity of the 
Philippines College of Law and director of the university’s Institute for 
Maritime Affairs and Law of the Sea, said Beijing’s naming of the features 
was inconsistent with international law.“The act of surveying and naming underwater featur"&amp;"es as part of a marine 
scientific research activity cannot be made the basis of any claim to any 
part of the marine environment or any of its resources,” he said.But Yan Yan, director of the Research Centre of Oceans Law and Policy at 
the Chinese state"&amp;"-run National Institute for South China Sea Studies, 
defended Beijing’s move, saying it was merely exercising its sovereign 
right.“That sovereignty is controversial does not mean rival claimants cannot do 
anything. Vietnam and Malaysia have been drilli"&amp;"ng oil in the disputed 
waters, for example,” he said.“Beijing’s naming of geographical features is a very minor way to exercise 
sovereignty and sovereign rights. It would be a double standard to let 
Vietnam and Malaysia exert their rights but not China"&amp;".”Le Hong Hiep, an expert on Vietnamese affairs at the ISEAS-Yusof Ishak 
Institute in Singapore, said that Beijing’s naming of the features would do 
little to help smooth its relationship with the Association of Southeast 
Asian Nations (Asean).“Such ac"&amp;"tions not only create tensions with Vietnam, Malaysia and the 
Philippines, but also cause Asean members to question China’s sincerity in 
negotiating a code of conduct for the South China Sea,” he said.“The unilateral action will delay those negotiations"&amp;", and also invite more 
interference from external powers, creating more tension in the region.”Douglas Guilfoyle, an associate professor of international and security law 
at the University of New South Wales Canberra, agreed.“It is a long-standing princ"&amp;"iple of international law in boundary dispute 
settlement that actions taken by a state to assert its claim to sovereignty 
over an area are of no legal significance if there is already an existing 
dispute with another state,” he said.“This rule exists t"&amp;"o discourage precisely the kind of behaviour which China 
has engaged in.”This article appeared in the South China Morning Post print edition as: 
Backlash fears over Beijing naming of marine features")</f>
        <v>The 80 topographical formations identified by Beijing over the weekend 
comprised 10 sandbars and two small reefs in the Paracel Island chain that 
were previously unnamed, 13 smaller reefs, described as “features”, around 
West Reef, which is currently occupied by Vietnam, and 55 underwater 
features spread across the South China Sea.{"@context":"https://schema.org","@type":"ImageObject","caption":"The UN 
Convention on the Law of the Sea states that nations cannot claim 
sovereignty over an underwater feature unless it is within 12 nautical 
miles of a land feature. Photo: 
EPA-EFE","url":"https://img.i-scmp.com/cdn-cgi/image/fit=contain,width=1024,format=auto/sites/default/files/d8/images/methode/2020/04/27/8ecb8322-82dc-11ea-8863-2139a14b0dea_1320x770_120032.JPG"}The 
UN Convention on the Law of the Sea states that nations cannot claim 
sovereignty over an underwater feature unless it is within 12 nautical 
miles of a land feature. Photo: EPA-EFEGregory Poling, director of the Washington-based Asia Maritime Transparency 
Initiative – a platform for information about maritime security issues 
across Asia – said Beijing’s move to name the South China Sea features was 
unusual and possibly in breach of international law.“It’s unclear why China decided to give 13 points around the edge of the 
[West] reef new names. There is no other reef in the South China Sea that 
it has treated that way,” he said.“And features of the seabed are not open to claims of sovereignty under 
international law.”Despite the rival views of Vietnam, the Philippines, Malaysia and others, 
Beijing has repeatedly asserted its claim to about 90 per cent of the sea, 
which is one of the world’s busiest trade routes and has huge geopolitical 
significance.Over the past six years, it has sought to bolster that claim by creating 
several artificial islands and developing infrastructure for possible 
military use, much to the consternation of the international community.Jay Batongbacal, an associate professor at the University of the 
Philippines College of Law and director of the university’s Institute for 
Maritime Affairs and Law of the Sea, said Beijing’s naming of the features 
was inconsistent with international law.“The act of surveying and naming underwater features as part of a marine 
scientific research activity cannot be made the basis of any claim to any 
part of the marine environment or any of its resources,” he said.But Yan Yan, director of the Research Centre of Oceans Law and Policy at 
the Chinese state-run National Institute for South China Sea Studies, 
defended Beijing’s move, saying it was merely exercising its sovereign 
right.“That sovereignty is controversial does not mean rival claimants cannot do 
anything. Vietnam and Malaysia have been drilling oil in the disputed 
waters, for example,” he said.“Beijing’s naming of geographical features is a very minor way to exercise 
sovereignty and sovereign rights. It would be a double standard to let 
Vietnam and Malaysia exert their rights but not China.”Le Hong Hiep, an expert on Vietnamese affairs at the ISEAS-Yusof Ishak 
Institute in Singapore, said that Beijing’s naming of the features would do 
little to help smooth its relationship with the Association of Southeast 
Asian Nations (Asean).“Such actions not only create tensions with Vietnam, Malaysia and the 
Philippines, but also cause Asean members to question China’s sincerity in 
negotiating a code of conduct for the South China Sea,” he said.“The unilateral action will delay those negotiations, and also invite more 
interference from external powers, creating more tension in the region.”Douglas Guilfoyle, an associate professor of international and security law 
at the University of New South Wales Canberra, agreed.“It is a long-standing principle of international law in boundary dispute 
settlement that actions taken by a state to assert its claim to sovereignty 
over an area are of no legal significance if there is already an existing 
dispute with another state,” he said.“This rule exists to discourage precisely the kind of behaviour which China 
has engaged in.”This article appeared in the South China Morning Post print edition as: 
Backlash fears over Beijing naming of marine features</v>
      </c>
      <c r="I17" s="4"/>
    </row>
    <row r="18" spans="1:9" ht="15.75" customHeight="1">
      <c r="A18" s="3">
        <v>20</v>
      </c>
      <c r="B18" s="3" t="s">
        <v>63</v>
      </c>
      <c r="C18" s="3" t="s">
        <v>64</v>
      </c>
      <c r="D18" s="6" t="s">
        <v>65</v>
      </c>
      <c r="E18" s="7" t="s">
        <v>66</v>
      </c>
      <c r="F18" s="8" t="str">
        <f t="shared" si="0"/>
        <v>https://webcache.googleusercontent.com/search?q=cache:https://www.scmp.com/week-asia/politics/article/3128986/us-china-rivalry-pressure-asean-countries-choose-sides</v>
      </c>
      <c r="G18" s="3" t="str">
        <f ca="1">IFERROR(__xludf.DUMMYFUNCTION("IMPORTXML(F18,""/html/body/div[2]/div/div[1]/div/div/article/div/div/div/div[15]"")"),"“Don’t force us to choose” has been a common refrain in Southeast Asia as 
Washington and Beijing clash over trade, technology and the South China 
Sea. But to political science professor Khong Yuen Foong, the 10 member 
states of the Association of South"&amp;"east Asian Nations (Asean) have already 
largely aligned themselves with either China or the United States.Khong, vice dean for research and development at Singapore’s Lee Kuan Yew 
School of Public Policy, said at a recent webinar that Cambodia and Laos "&amp;"
were clearly closer to China, having developed stronger political and 
economic ties with Beijing in recent years.Vietnam and Singapore, on the other hand, had found “greater strategic 
comfort with the US”, he said, adding that countries such as Thailan"&amp;"d, the 
Philippines and Malaysia had moved away from the US in recent years to 
become more embedded in the Chinese orbit.Possibly the most neutral country, in Khong’s view, was Indonesia, which 
was “smack in the middle”.")</f>
        <v>“Don’t force us to choose” has been a common refrain in Southeast Asia as 
Washington and Beijing clash over trade, technology and the South China 
Sea. But to political science professor Khong Yuen Foong, the 10 member 
states of the Association of Southeast Asian Nations (Asean) have already 
largely aligned themselves with either China or the United States.Khong, vice dean for research and development at Singapore’s Lee Kuan Yew 
School of Public Policy, said at a recent webinar that Cambodia and Laos 
were clearly closer to China, having developed stronger political and 
economic ties with Beijing in recent years.Vietnam and Singapore, on the other hand, had found “greater strategic 
comfort with the US”, he said, adding that countries such as Thailand, the 
Philippines and Malaysia had moved away from the US in recent years to 
become more embedded in the Chinese orbit.Possibly the most neutral country, in Khong’s view, was Indonesia, which 
was “smack in the middle”.</v>
      </c>
      <c r="H18" s="4" t="s">
        <v>567</v>
      </c>
      <c r="I18" s="4"/>
    </row>
    <row r="19" spans="1:9" ht="15.75" customHeight="1">
      <c r="A19" s="3">
        <v>21</v>
      </c>
      <c r="B19" s="3" t="s">
        <v>67</v>
      </c>
      <c r="C19" s="3" t="s">
        <v>68</v>
      </c>
      <c r="D19" s="6" t="s">
        <v>69</v>
      </c>
      <c r="E19" s="7" t="s">
        <v>70</v>
      </c>
      <c r="F19" s="8" t="str">
        <f t="shared" si="0"/>
        <v>https://webcache.googleusercontent.com/search?q=cache:https://www.scmp.com/week-asia/politics/article/3046622/are-aseans-big-players-about-get-tough-beijings-south-china-sea</v>
      </c>
      <c r="G19" s="3" t="str">
        <f ca="1">IFERROR(__xludf.DUMMYFUNCTION("IMPORTXML(F19,""/html/body/div[2]/div/div[1]/div/div/article/div/div/div/div[15]"")"),"When Indonesian President Joko Widodo visited a small archipelago on the 
edge of the South China Sea this week, he sent a message to the world.“There are no more debates. De facto, de jure, Natuna is Indonesia,” said 
Widodo as he met fishermen, promised"&amp;" investment and reiterated his 
long-standing position on the sovereignty of the Natuna Islands.The Natunas, which lie roughly 1,100km south of the Spratly Islands, are at 
the centre of a spat between Indonesia and China that this week forced its 
way in"&amp;"to headlines across the world.")</f>
        <v>When Indonesian President Joko Widodo visited a small archipelago on the 
edge of the South China Sea this week, he sent a message to the world.“There are no more debates. De facto, de jure, Natuna is Indonesia,” said 
Widodo as he met fishermen, promised investment and reiterated his 
long-standing position on the sovereignty of the Natuna Islands.The Natunas, which lie roughly 1,100km south of the Spratly Islands, are at 
the centre of a spat between Indonesia and China that this week forced its 
way into headlines across the world.</v>
      </c>
      <c r="H19" s="4" t="s">
        <v>568</v>
      </c>
      <c r="I19" s="4"/>
    </row>
    <row r="20" spans="1:9" ht="15.75" customHeight="1">
      <c r="A20" s="3">
        <v>22</v>
      </c>
      <c r="B20" s="3" t="s">
        <v>71</v>
      </c>
      <c r="C20" s="3" t="s">
        <v>72</v>
      </c>
      <c r="D20" s="6" t="s">
        <v>73</v>
      </c>
      <c r="E20" s="5" t="s">
        <v>74</v>
      </c>
      <c r="F20" s="8" t="str">
        <f t="shared" si="0"/>
        <v>https://webcache.googleusercontent.com/search?q=cache:https://www.scmp.com/week-asia/politics/article/3032568/russia-romances-southeast-asia-trade-and-arms-its-no-match-china</v>
      </c>
      <c r="G20" s="3" t="str">
        <f ca="1">IFERROR(__xludf.DUMMYFUNCTION("IMPORTXML(F20,""/html/body/div[2]/div/div[1]/div/div/article/div/div/div/div[15]"")"),"Russians poked fun at Philippine President Rodrigo Duterte’s ill-fitting 
suit and slightly askew tie when he met the comparatively dapper Prime 
Minister Dimitri Medvedev last week. “Did he just leave the pub? Does he 
know what [state visit] protocol is"&amp;"?” a Russian journalist tweeted.But for Moscow, Duterte’s five-day visit was no laughing matter. Duterte, 
74, was the guest of honour at the Valdai Discussion Club – a global forum 
where Russian President Vladimir Putin airs his foreign policy ideas – i"&amp;"n 
Sochi, taken on a tour of the Kremlin and awarded an honorary degree.He and Putin agreed to boost defence and trade ties, and Duterte urged 
Russian firms to invest in railway and transport infrastructure as part of 
his “Build, Build, Build” programme"&amp;" to drive growth in the Philippines.")</f>
        <v>Russians poked fun at Philippine President Rodrigo Duterte’s ill-fitting 
suit and slightly askew tie when he met the comparatively dapper Prime 
Minister Dimitri Medvedev last week. “Did he just leave the pub? Does he 
know what [state visit] protocol is?” a Russian journalist tweeted.But for Moscow, Duterte’s five-day visit was no laughing matter. Duterte, 
74, was the guest of honour at the Valdai Discussion Club – a global forum 
where Russian President Vladimir Putin airs his foreign policy ideas – in 
Sochi, taken on a tour of the Kremlin and awarded an honorary degree.He and Putin agreed to boost defence and trade ties, and Duterte urged 
Russian firms to invest in railway and transport infrastructure as part of 
his “Build, Build, Build” programme to drive growth in the Philippines.</v>
      </c>
      <c r="H20" s="4" t="s">
        <v>569</v>
      </c>
      <c r="I20" s="4"/>
    </row>
    <row r="21" spans="1:9" ht="15.75" customHeight="1">
      <c r="A21" s="3">
        <v>23</v>
      </c>
      <c r="B21" s="3" t="s">
        <v>75</v>
      </c>
      <c r="C21" s="3" t="s">
        <v>76</v>
      </c>
      <c r="D21" s="6" t="s">
        <v>77</v>
      </c>
      <c r="E21" s="7" t="s">
        <v>78</v>
      </c>
      <c r="F21" s="8" t="str">
        <f t="shared" si="0"/>
        <v>https://webcache.googleusercontent.com/search?q=cache:https://www.scmp.com/news/china/diplomacy/article/3234839/chinas-li-qiang-vows-practical-cooperation-asean-bid-reassure-region-amid-maritime-disputes-us</v>
      </c>
      <c r="G21" s="3" t="str">
        <f ca="1">IFERROR(__xludf.DUMMYFUNCTION("IMPORTXML(F21,""/html/body/div[2]/div/div[1]/div/div/article/div/div/div/div[15]"")"),"China will pursue “practical” cooperation with Southeast Asia, Chinese 
Premier Li Qiang said on Sunday, seeking to reassure regional leaders of 
his country’s focus amid persistent territorial disputes and a 
reinvigorated US charm offensive.“When the wo"&amp;"rld order and geopolitical conditions are unstable, honesty and 
faithfulness are especially precious,” Li said at the opening of the 
China-Asean Business and Investment Summit in Nanning, Guangxi Zhuang 
autonomous region.He added that the most importan"&amp;"t thing for trade and economic cooperation 
was the trustworthiness of parties and whether the market policies and 
environment were “fair, stable, transparent and foreseeable”.“China has always treated counterparts wholeheartedly and with sincerity, 
and"&amp;" has been especially wholehearted to Asean countries,” he said.")</f>
        <v>China will pursue “practical” cooperation with Southeast Asia, Chinese 
Premier Li Qiang said on Sunday, seeking to reassure regional leaders of 
his country’s focus amid persistent territorial disputes and a 
reinvigorated US charm offensive.“When the world order and geopolitical conditions are unstable, honesty and 
faithfulness are especially precious,” Li said at the opening of the 
China-Asean Business and Investment Summit in Nanning, Guangxi Zhuang 
autonomous region.He added that the most important thing for trade and economic cooperation 
was the trustworthiness of parties and whether the market policies and 
environment were “fair, stable, transparent and foreseeable”.“China has always treated counterparts wholeheartedly and with sincerity, 
and has been especially wholehearted to Asean countries,” he said.</v>
      </c>
      <c r="H21" s="4" t="str">
        <f ca="1">IFERROR(__xludf.DUMMYFUNCTION("""COMPUTED_VALUE"""),"“We are willing to uphold our promises, to develop cooperation in all areas 
and to carry out practical moves on items of cooperation that have been 
agreed on.”The premier also underscored China’s hopes to advance talks with the 
Association of Southeast"&amp;" Asian Nations on a “free trade area version 3.0”, 
which would expand on the areas covered by the Regional Comprehensive 
Economic Partnership (RCEP).China and the 10 members of Asean have signed up for RCEP, as have 
Australia, Japan, South Korea and Ne"&amp;"w Zealand.He also highlighted trade between China and Asean, which he said had grown 
more than 16-fold in the two decades since the summit was launched.Li’s address is the latest attempt by Beijing to assure its Southeast Asian 
neighbours that they have"&amp;" “priority” for China in a geopolitical 
environment that it describes as “turbulent” and “full of uncertainties”, 
particularly in relation to the United States. 
{""@context"":""https://schema.org"",""@type"":""VideoObject"",""contentUrl"":""https://www"&amp;".youtube.com/embed/tfZw2O18NHA?wmode=transparent&amp;jqoemcache=UdCOW&amp;enablejsapi=1&amp;playsinline=1"",""description"":""China 
and Asean renew agreement to develop code of conduct for South China 
Sea"",""duration"":""PT2M43S"",""embedUrl"":""https://www.scmp.c"&amp;"om/news/china/diplomacy/article/3234839/chinas-li-qiang-vows-practical-cooperation-asean-bid-reassure-region-amid-maritime-disputes-us"",""name"":""China 
and Asean renew agreement to develop code of conduct for South China 
Sea"",""thumbnailUrl"":[""http"&amp;"s://cdn.i-scmp.com/sites/default/files/d8/video/thumbnail/2023/07/14/clean_0.jpg"",""https://cdn.i-scmp.com/sites/default/files/styles/wide_landscape/public/d8/video/thumbnail/2023/07/14/clean_0.jpg?itok=bdK19q-p"",""https://cdn.i-scmp.com/sites/default/f"&amp;"iles/styles/768x768/public/d8/video/thumbnail/2023/07/14/clean_0.jpg?itok=PeyVzi5C""],""uploadDate"":""2023-09-17T06:12:10.000Z""}{""@context"":""https://schema.org"",""@type"":""ImageObject"",""url"":""https://cdn.i-scmp.com/sites/default/files/styles/wi"&amp;"de_landscape/public/d8/video/thumbnail/2023/07/14/clean_0.jpg?itok=bdK19q-p""}02:43China 
and Asean renew agreement to develop code of conduct for South China 
SeaChina and Asean renew agreement to develop code of conduct for South 
China SeaLi held sever"&amp;"al meetings with his Southeast Asian counterparts throughout 
the weekend on the sidelines of the four-day gathering, which ends on 
Tuesday.In his meeting with his Vietnamese counterpart Pham Minh Chinh, Li said 
China hoped to “manage disputes” with Vie"&amp;"tnam through communication and was 
determined to “defend righteousness and justice” with Hanoi.A Chinese foreign ministry statement quoted Chinh as saying that the 
Vietnam-China comprehensive strategic partnership was his country’s most 
valued external"&amp;" relationship.Deepening those relations was Vietnam’s “objective need, top priority and 
strategic choice”, he said.Their meeting came after US President Joe Biden made his first state visit 
to Vietnam last week, upgrading bilateral relations to a “compr"&amp;"ehensive 
strategic partnership”.The move put the US on the same status as China and Russia in Vietnam’s 
diplomatic hierarchy.Beijing responded to their meeting by calling on Washington to discard its 
“hegemonic and cold war mentality” in the region.Li "&amp;"also held talks with Laotian Prime Minister Sonexay Siphandone, 
promising to give support to Laos as the host country of the Asean summit 
next year.In discussions with Indonesian Vice-president Ma’ruf Amin, Li called for 
the two countries to work toget"&amp;"her to “defend the correct direction for 
cooperation” in the region.Cambodian Prime Minister Hun Manet, Malaysian Prime Minister Anwar Ibrahim 
and Thailand’s Deputy Prime Minister and Commerce Minister Phumtham 
Wechayachai and Asean Secretary General K"&amp;"ao Kim Hourn also attended the 
opening ceremony.While China has long been Asean’s biggest trading partner, Asean only 
become China’s biggest trading partner in 2020 – filling a position long 
held by the US.Since 2018, when the trade war broke out betwe"&amp;"en the world’s two biggest 
economies, changes in the supply chain have seen Beijing step up trade with 
its neighbours as manufacturers shifted from China to Asean countries.China-Asean bilateral trade grew from US$641.5 billion in 2019 to US$975.3 
bill"&amp;"ion in 2022, China’s numbers showed. But the US remained the largest 
source of foreign direct investment in Asean countries, according to the 
bloc.Two weeks ago at the Asean summit in Jakarta, Li also voiced hopes that 
China’s ties with the bloc would "&amp;"be “as firm as ever”.Yet, a week before the visit, Beijing released a new “standard map” with 
its unilateral claims to most of the South China Sea – prompting strong 
protests from the region, including Malaysia, Indonesia, Vietnam, the 
Philippines and "&amp;"Brunei.China claims almost all of the South China Sea, and its growing 
assertiveness about its vast maritime claims has led to confrontations 
between the Chinese coastguard and vessels from Southeast Asian countries 
that also claim territory in the dis"&amp;"puted waters, particularly the 
Philippines, Vietnam and Malaysia.China has pushed for a South China Sea code of conduct with the 10-member 
bloc, but there has been scant progress.")</f>
        <v>“We are willing to uphold our promises, to develop cooperation in all areas 
and to carry out practical moves on items of cooperation that have been 
agreed on.”The premier also underscored China’s hopes to advance talks with the 
Association of Southeast Asian Nations on a “free trade area version 3.0”, 
which would expand on the areas covered by the Regional Comprehensive 
Economic Partnership (RCEP).China and the 10 members of Asean have signed up for RCEP, as have 
Australia, Japan, South Korea and New Zealand.He also highlighted trade between China and Asean, which he said had grown 
more than 16-fold in the two decades since the summit was launched.Li’s address is the latest attempt by Beijing to assure its Southeast Asian 
neighbours that they have “priority” for China in a geopolitical 
environment that it describes as “turbulent” and “full of uncertainties”, 
particularly in relation to the United States. 
{"@context":"https://schema.org","@type":"VideoObject","contentUrl":"https://www.youtube.com/embed/tfZw2O18NHA?wmode=transparent&amp;jqoemcache=UdCOW&amp;enablejsapi=1&amp;playsinline=1","description":"China 
and Asean renew agreement to develop code of conduct for South China 
Sea","duration":"PT2M43S","embedUrl":"https://www.scmp.com/news/china/diplomacy/article/3234839/chinas-li-qiang-vows-practical-cooperation-asean-bid-reassure-region-amid-maritime-disputes-us","name":"China 
and Asean renew agreement to develop code of conduct for South China 
Sea","thumbnailUrl":["https://cdn.i-scmp.com/sites/default/files/d8/video/thumbnail/2023/07/14/clean_0.jpg","https://cdn.i-scmp.com/sites/default/files/styles/wide_landscape/public/d8/video/thumbnail/2023/07/14/clean_0.jpg?itok=bdK19q-p","https://cdn.i-scmp.com/sites/default/files/styles/768x768/public/d8/video/thumbnail/2023/07/14/clean_0.jpg?itok=PeyVzi5C"],"uploadDate":"2023-09-17T06:12:10.000Z"}{"@context":"https://schema.org","@type":"ImageObject","url":"https://cdn.i-scmp.com/sites/default/files/styles/wide_landscape/public/d8/video/thumbnail/2023/07/14/clean_0.jpg?itok=bdK19q-p"}02:43China 
and Asean renew agreement to develop code of conduct for South China 
SeaChina and Asean renew agreement to develop code of conduct for South 
China SeaLi held several meetings with his Southeast Asian counterparts throughout 
the weekend on the sidelines of the four-day gathering, which ends on 
Tuesday.In his meeting with his Vietnamese counterpart Pham Minh Chinh, Li said 
China hoped to “manage disputes” with Vietnam through communication and was 
determined to “defend righteousness and justice” with Hanoi.A Chinese foreign ministry statement quoted Chinh as saying that the 
Vietnam-China comprehensive strategic partnership was his country’s most 
valued external relationship.Deepening those relations was Vietnam’s “objective need, top priority and 
strategic choice”, he said.Their meeting came after US President Joe Biden made his first state visit 
to Vietnam last week, upgrading bilateral relations to a “comprehensive 
strategic partnership”.The move put the US on the same status as China and Russia in Vietnam’s 
diplomatic hierarchy.Beijing responded to their meeting by calling on Washington to discard its 
“hegemonic and cold war mentality” in the region.Li also held talks with Laotian Prime Minister Sonexay Siphandone, 
promising to give support to Laos as the host country of the Asean summit 
next year.In discussions with Indonesian Vice-president Ma’ruf Amin, Li called for 
the two countries to work together to “defend the correct direction for 
cooperation” in the region.Cambodian Prime Minister Hun Manet, Malaysian Prime Minister Anwar Ibrahim 
and Thailand’s Deputy Prime Minister and Commerce Minister Phumtham 
Wechayachai and Asean Secretary General Kao Kim Hourn also attended the 
opening ceremony.While China has long been Asean’s biggest trading partner, Asean only 
become China’s biggest trading partner in 2020 – filling a position long 
held by the US.Since 2018, when the trade war broke out between the world’s two biggest 
economies, changes in the supply chain have seen Beijing step up trade with 
its neighbours as manufacturers shifted from China to Asean countries.China-Asean bilateral trade grew from US$641.5 billion in 2019 to US$975.3 
billion in 2022, China’s numbers showed. But the US remained the largest 
source of foreign direct investment in Asean countries, according to the 
bloc.Two weeks ago at the Asean summit in Jakarta, Li also voiced hopes that 
China’s ties with the bloc would be “as firm as ever”.Yet, a week before the visit, Beijing released a new “standard map” with 
its unilateral claims to most of the South China Sea – prompting strong 
protests from the region, including Malaysia, Indonesia, Vietnam, the 
Philippines and Brunei.China claims almost all of the South China Sea, and its growing 
assertiveness about its vast maritime claims has led to confrontations 
between the Chinese coastguard and vessels from Southeast Asian countries 
that also claim territory in the disputed waters, particularly the 
Philippines, Vietnam and Malaysia.China has pushed for a South China Sea code of conduct with the 10-member 
bloc, but there has been scant progress.</v>
      </c>
      <c r="I21" s="4"/>
    </row>
    <row r="22" spans="1:9" ht="15.75" customHeight="1">
      <c r="A22" s="3">
        <v>24</v>
      </c>
      <c r="B22" s="3" t="s">
        <v>79</v>
      </c>
      <c r="C22" s="3" t="s">
        <v>80</v>
      </c>
      <c r="D22" s="6" t="s">
        <v>81</v>
      </c>
      <c r="E22" s="5" t="s">
        <v>54</v>
      </c>
      <c r="F22" s="8" t="str">
        <f t="shared" si="0"/>
        <v>https://webcache.googleusercontent.com/search?q=cache:https://www.scmp.com/economy/china-economy/article/3227769/china-eyes-asean-trade-ties-members-fear-geopolitical-trap-us-also-seeks-regional-influence</v>
      </c>
      <c r="G22" s="3" t="str">
        <f ca="1">IFERROR(__xludf.DUMMYFUNCTION("IMPORTXML(F22,""/html/body/div[2]/div/div[1]/div/div/article/div/div/div/div[15]"")"),"This is the first story in a two-part series about how China’s years-long 
drive to enhance trade infrastructure and bolster ties is yielding greater 
connectivity with Southeast Asia.As the shovels broke ground on a factory in a Chinese port city near 
V"&amp;"ietnam two years ago, an ambitious plan was put in motion by 
new-energy-materials provider CNGR to shore up the firm’s trade links for 
years to come.At this site in Qinzhou, a port city next to Vietnam, a phase-one 
investment of 10 billion yuan (US$1.4"&amp;" billion) has resulted in a factory 
that will serve as a base for CNGR to receive shipments of nickel and other 
minerals from its Indonesian base or partners, and will produce a key 
element in lithium batteries.")</f>
        <v>This is the first story in a two-part series about how China’s years-long 
drive to enhance trade infrastructure and bolster ties is yielding greater 
connectivity with Southeast Asia.As the shovels broke ground on a factory in a Chinese port city near 
Vietnam two years ago, an ambitious plan was put in motion by 
new-energy-materials provider CNGR to shore up the firm’s trade links for 
years to come.At this site in Qinzhou, a port city next to Vietnam, a phase-one 
investment of 10 billion yuan (US$1.4 billion) has resulted in a factory 
that will serve as a base for CNGR to receive shipments of nickel and other 
minerals from its Indonesian base or partners, and will produce a key 
element in lithium batteries.</v>
      </c>
      <c r="H22" s="4" t="s">
        <v>570</v>
      </c>
      <c r="I22" s="4"/>
    </row>
    <row r="23" spans="1:9" ht="15.75" customHeight="1">
      <c r="A23" s="3">
        <v>25</v>
      </c>
      <c r="B23" s="3" t="s">
        <v>82</v>
      </c>
      <c r="C23" s="3" t="s">
        <v>83</v>
      </c>
      <c r="D23" s="6" t="s">
        <v>84</v>
      </c>
      <c r="E23" s="5" t="s">
        <v>54</v>
      </c>
      <c r="F23" s="8" t="str">
        <f t="shared" si="0"/>
        <v>https://webcache.googleusercontent.com/search?q=cache:https://www.scmp.com/week-asia/politics/article/3246702/south-china-sea-beijing-asean-claimant-states-risk-pushing-beyond-grey-zone-between-peace-and-war</v>
      </c>
      <c r="G23" s="3" t="str">
        <f ca="1">IFERROR(__xludf.DUMMYFUNCTION("IMPORTXML(F23,""/html/body/div[2]/div/div[1]/div/div/article/div/div/div/div[15]"")"),"The South China Sea has long been one of the most disputed stretches of 
water on the planet with territorial tensions festering for many years and 
2023 is no different – with one exception: the number of incidents among 
claimant nations and exchanges o"&amp;"f belligerent rhetoric have escalated.Analysts say that the Philippines’ increasingly confrontational stance 
against China’s “grey-zone” tactics – particularly over flashpoints in 
waters around the Second Thomas Shoal and the Scarborough Shoal – and its"&amp;" 
further alignment with the US could keep tensions simmering or even risk an 
outbreak of serious conflict.Earlier this month, the Philippines accused Chinese vessels of firing water 
cannons and ramming into its ships while China said it was engaged in "&amp;"
legitimate “control measures” during the incident.{""@context"":""https://schema.org"",""@type"":""ImageObject"",""caption"":""A Chinese 
coastguard ship is seen firing water cannon at a Philippine Navy-operated 
supply boat in the South China Sea on Dec"&amp;"ember 10. Photo: Philippine Coast 
Guard / Handout via 
EPA-EFE"",""url"":""https://img.i-scmp.com/cdn-cgi/image/fit=contain,width=1024,format=auto/sites/default/files/d8/images/canvas/2023/12/29/6c555495-c3ec-45f4-bbab-291603a226be_bdeee8c4.jpg""}A 
Chin"&amp;"ese coastguard ship is seen firing water cannon at a Philippine 
Navy-operated supply boat in the South China Sea on December 10. Photo: 
Philippine Coast Guard / Handout via EPA-EFEThe decades-long conflict involving multiple claimant nations – China, th"&amp;"e 
Philippines, Vietnam, Brunei and Malaysia – has long simmered in an area 
that foreign policy and military analysts describe as the “grey zone 
between peace and war”.")</f>
        <v>The South China Sea has long been one of the most disputed stretches of 
water on the planet with territorial tensions festering for many years and 
2023 is no different – with one exception: the number of incidents among 
claimant nations and exchanges of belligerent rhetoric have escalated.Analysts say that the Philippines’ increasingly confrontational stance 
against China’s “grey-zone” tactics – particularly over flashpoints in 
waters around the Second Thomas Shoal and the Scarborough Shoal – and its 
further alignment with the US could keep tensions simmering or even risk an 
outbreak of serious conflict.Earlier this month, the Philippines accused Chinese vessels of firing water 
cannons and ramming into its ships while China said it was engaged in 
legitimate “control measures” during the incident.{"@context":"https://schema.org","@type":"ImageObject","caption":"A Chinese 
coastguard ship is seen firing water cannon at a Philippine Navy-operated 
supply boat in the South China Sea on December 10. Photo: Philippine Coast 
Guard / Handout via 
EPA-EFE","url":"https://img.i-scmp.com/cdn-cgi/image/fit=contain,width=1024,format=auto/sites/default/files/d8/images/canvas/2023/12/29/6c555495-c3ec-45f4-bbab-291603a226be_bdeee8c4.jpg"}A 
Chinese coastguard ship is seen firing water cannon at a Philippine 
Navy-operated supply boat in the South China Sea on December 10. Photo: 
Philippine Coast Guard / Handout via EPA-EFEThe decades-long conflict involving multiple claimant nations – China, the 
Philippines, Vietnam, Brunei and Malaysia – has long simmered in an area 
that foreign policy and military analysts describe as the “grey zone 
between peace and war”.</v>
      </c>
      <c r="H23" s="4" t="s">
        <v>571</v>
      </c>
      <c r="I23" s="4"/>
    </row>
    <row r="24" spans="1:9" ht="15.75" customHeight="1">
      <c r="A24" s="3">
        <v>26</v>
      </c>
      <c r="B24" s="3" t="s">
        <v>85</v>
      </c>
      <c r="C24" s="3" t="s">
        <v>86</v>
      </c>
      <c r="D24" s="6" t="s">
        <v>87</v>
      </c>
      <c r="E24" s="5" t="s">
        <v>54</v>
      </c>
      <c r="F24" s="8" t="str">
        <f t="shared" si="0"/>
        <v>https://webcache.googleusercontent.com/search?q=cache:https://www.scmp.com/economy/china-economy/article/3228524/china-widen-asean-trade-first-major-waterway-700-years-will-pinglu-canal-be-game-changer-or-white</v>
      </c>
      <c r="G24" s="3" t="str">
        <f ca="1">IFERROR(__xludf.DUMMYFUNCTION("IMPORTXML(F24,""/html/body/div[2]/div/div[1]/div/div/article/div/div/div/div[15]"")"),"This is the second story in a two-part series about how China’s years-long 
drive to enhance trade infrastructure and bolster ties is yielding greater 
connectivity with Southeast Asia. You can read part one here.Chinese authorities like building roads an"&amp;"d bridges from times gone by, as 
connectivity facilitates flows of people, goods and also fortune. But only 
a few can afford to construct canals that demand massive amounts of labour 
and mastery of technology.Over 2,200 years ago during the Qin dynasty"&amp;", China’s first emperor built 
the 36.4km (22.6 mile) Lingqu Canal to carry soldiers to conquer the 
southern tribes and expand the imperial territory.")</f>
        <v>This is the second story in a two-part series about how China’s years-long 
drive to enhance trade infrastructure and bolster ties is yielding greater 
connectivity with Southeast Asia. You can read part one here.Chinese authorities like building roads and bridges from times gone by, as 
connectivity facilitates flows of people, goods and also fortune. But only 
a few can afford to construct canals that demand massive amounts of labour 
and mastery of technology.Over 2,200 years ago during the Qin dynasty, China’s first emperor built 
the 36.4km (22.6 mile) Lingqu Canal to carry soldiers to conquer the 
southern tribes and expand the imperial territory.</v>
      </c>
      <c r="H24" s="4" t="s">
        <v>572</v>
      </c>
      <c r="I24" s="4"/>
    </row>
    <row r="25" spans="1:9" ht="15.75" customHeight="1">
      <c r="A25" s="3">
        <v>27</v>
      </c>
      <c r="B25" s="3" t="s">
        <v>88</v>
      </c>
      <c r="C25" s="3" t="s">
        <v>89</v>
      </c>
      <c r="D25" s="6" t="s">
        <v>90</v>
      </c>
      <c r="E25" s="7" t="s">
        <v>91</v>
      </c>
      <c r="F25" s="8" t="str">
        <f t="shared" si="0"/>
        <v>https://webcache.googleusercontent.com/search?q=cache:https://www.scmp.com/news/china/diplomacy/article/3210193/new-chinese-trade-zones-philippines-indonesia-showcase-asean-bridge-and-bond</v>
      </c>
      <c r="G25" s="3" t="str">
        <f ca="1">IFERROR(__xludf.DUMMYFUNCTION("IMPORTXML(F25,""/html/body/div[2]/div/div[1]/div/div/article/div/div/div/div[15]"")"),"China will set up two zones to boost innovative economic and trade 
connections with the Philippines and Indonesia, as Beijing vies with the US 
to expand its influence in Southeast Asia.China and the Asean are each others’ top trading partners, Beijing’s"&amp;" 
Ministry of Commerce noted in announcing plans for the new innovation zones 
on Monday.Both so-called demonstration zones – to be set up by 2035 – will be located 
in the eastern coastal province of Fujian.")</f>
        <v>China will set up two zones to boost innovative economic and trade 
connections with the Philippines and Indonesia, as Beijing vies with the US 
to expand its influence in Southeast Asia.China and the Asean are each others’ top trading partners, Beijing’s 
Ministry of Commerce noted in announcing plans for the new innovation zones 
on Monday.Both so-called demonstration zones – to be set up by 2035 – will be located 
in the eastern coastal province of Fujian.</v>
      </c>
      <c r="H25" s="4" t="str">
        <f ca="1">IFERROR(__xludf.DUMMYFUNCTION("""COMPUTED_VALUE"""),"The Indonesian zone will be in the city of Fuzhou and the Philippine one in 
Zhangzhou, the ministry said, adding that they would serve as “a bridge and 
a bond for economic and trade cooperation” between China and Southeast 
Asian nations.While the Indon"&amp;"esian zone will focus on fisheries, the food industry and 
infrastructure as areas of cooperation, the Philippine zone will prioritise 
the petrochemical industry, agriculture and poultry processing, as well as 
investment in innovation and digital trade."&amp;"“China and Asean countries will take advantage of complementary economic 
and trade cooperation [to] explore … cooperation models of their deeply 
integrated industrial chains, supply chains and value chains, and build a 
new high ground for economic and "&amp;"trade cooperation and exchanges,” a 
ministry spokesman said in a policy interpretation statement on Tuesday. 
{""@context"":""https://schema.org"",""@type"":""VideoObject"",""contentUrl"":""https://www.youtube.com/embed/tYjXiJPiOpQ?wmode=transparent&amp;jqoe"&amp;"mcache=UdCOW&amp;enablejsapi=1&amp;playsinline=1"",""description"":""Ferdinand 
Marcos Jnr visits Beijing; Xi offers talks on joint oil exploration deal 
"",""duration"":""PT2M37S"",""embedUrl"":""https://www.scmp.com/news/china/diplomacy/article/3210193/new-chin"&amp;"ese-trade-zones-philippines-indonesia-showcase-asean-bridge-and-bond"",""name"":""Ferdinand 
Marcos Jnr visits Beijing; Xi offers talks on joint oil exploration deal 
"",""thumbnailUrl"":[""https://cdn.i-scmp.com/sites/default/files/d8/video/thumbnail/202"&amp;"3/01/05/clean_xi,marcos.jpg"",""https://cdn.i-scmp.com/sites/default/files/styles/wide_landscape/public/d8/video/thumbnail/2023/01/05/clean_xi,marcos.jpg?itok=5wDgTVgB"",""https://cdn.i-scmp.com/sites/default/files/styles/768x768/public/d8/video/thumbnail"&amp;"/2023/01/05/clean_xi,marcos.jpg?itok=DREZzLmY""],""uploadDate"":""2023-02-14T14:30:10.000Z""}{""@context"":""https://schema.org"",""@type"":""ImageObject"",""url"":""https://cdn.i-scmp.com/sites/default/files/styles/wide_landscape/public/d8/video/thumbnai"&amp;"l/2023/01/05/clean_xi,marcos.jpg?itok=5wDgTVgB""}02:37Ferdinand 
Marcos Jnr visits Beijing; Xi offers talks on joint oil exploration deal 
Ferdinand Marcos Jnr visits Beijing; Xi offers talks on joint oil 
exploration deal Apart from the Philippines and I"&amp;"ndonesia, the 10-member Association of 
Southeast Asian Nations includes Malaysia, Singapore, Brunei, Thailand, 
Vietnam, Cambodia, Laos and Myanmar.Proposals for building the “demonstration zones for innovative economic and 
trade development” with Indon"&amp;"esia and the Philippines – Southeast Asia’s 
two most populous countries – had been under discussion for a while and 
were approved in January.However, the details were not made public until this week, as tensions 
mounted over the South China Sea, a stra"&amp;"tegically important waterway and 
potential regional flashpoint where Beijing has territorial disputes with 
several Asean members.Tensions have run high since the Philippine coastguard on Monday accused a 
Chinese vessel of shining a “military-grade lase"&amp;"r light” at one of its 
boats near a disputed South China Sea reef, temporarily blinding crew 
members.Manila filed a protest with the Chinese embassy the following day over what 
it called “acts of aggression by China”. The US backed Manila’s claim, 
say"&amp;"ing the Chinese action was “provocative and unsafe”.Beijing has defended the coastguard engagement as “professional and 
restrained”.The Philippines and Japan, both treaty allies to the United States, have 
also agreed to deepen economic and security ties"&amp;", as announced by 
Philippine President Ferdinand Marcos Jnr during a trip to Tokyo last week, 
in a move likely to rattle Beijing. 
{""@context"":""https://schema.org"",""@type"":""VideoObject"",""contentUrl"":""https://www.youtube.com/embed/GV0OJEb6QKw?"&amp;"wmode=transparent&amp;jqoemcache=UdCOW&amp;enablejsapi=1&amp;playsinline=1"",""description"":""Diaoyu-Senkaku 
islands spat deepens as Japan warns China over coastguard ships in East 
China 
Sea"",""duration"":""PT1M56S"",""embedUrl"":""https://www.scmp.com/news/chin"&amp;"a/diplomacy/article/3210193/new-chinese-trade-zones-philippines-indonesia-showcase-asean-bridge-and-bond"",""name"":""Diaoyu-Senkaku 
islands spat deepens as Japan warns China over coastguard ships in East 
China 
Sea"",""thumbnailUrl"":[""https://cdn.i-s"&amp;"cmp.com/sites/default/files/d8/video/thumbnail/2020/10/14/thumbnail_webyt_clean_1.jpg"",""https://cdn.i-scmp.com/sites/default/files/styles/wide_landscape/public/d8/video/thumbnail/2020/10/14/thumbnail_webyt_clean_1.jpg?itok=0grI8NUo"",""https://cdn.i-scm"&amp;"p.com/sites/default/files/styles/768x768/public/d8/video/thumbnail/2020/10/14/thumbnail_webyt_clean_1.jpg?itok=gOfoeGNG""],""uploadDate"":""2023-02-14T14:30:10.000Z""}{""@context"":""https://schema.org"",""@type"":""ImageObject"",""url"":""https://cdn.i-s"&amp;"cmp.com/sites/default/files/styles/wide_landscape/public/d8/video/thumbnail/2020/10/14/thumbnail_webyt_clean_1.jpg?itok=0grI8NUo""}01:56Diaoyu-Senkaku 
islands spat deepens as Japan warns China over coastguard ships in East 
China SeaDiaoyu-Senkaku island"&amp;"s spat deepens as Japan warns China over 
coastguard ships in East China SeaMarcos Jnr and Japanese Prime Minister Fumio Kishida “expressed serious 
concerns about the situation” in the East China Sea and South China Sea and 
“strongly opposed actions inc"&amp;"luding force or coercion that may increase 
tensions”, a joint statement released after their meeting in Tokyo said, 
without directly naming China.Chinese claims over most of the resource-rich South China Sea overlap with 
those of a number of Southeast "&amp;"Asian countries, including Vietnam, the 
Philippines, Malaysia and Brunei.Indonesia has no territorial disputes with China but often clashes with it 
over fishing rights off Natuna Islands in the southern section of the South 
China Sea.According to docum"&amp;"ents released by the Commerce Ministry, the two economic 
zones are part of a commitment made by Chinese President Xi Jinping in 
November 2021, when he pledged to “enhance trade and investment 
liberalisation and facilitation” as China and the Asean mark"&amp;"ed 30 years of 
diplomatic ties.Asean has been China’s largest trading partner since 2020, partly as a 
result of Beijing’s efforts to diversify exports to offset trade pressure 
from the US.The two sides are also part of the Regional Comprehensive Econom"&amp;"ic 
Partnership, the world’s largest free trade agreement involving 15 
countries – including Japan, South Korea, Australia and New Zealand – and 
accounting for 31 per cent of the global GDP.Earlier this month, China and Asean announced the launch of a n"&amp;"ew round of 
talks to upgrade the RCEP to cover commodity trade, investment, and the 
digital and green economies.")</f>
        <v>The Indonesian zone will be in the city of Fuzhou and the Philippine one in 
Zhangzhou, the ministry said, adding that they would serve as “a bridge and 
a bond for economic and trade cooperation” between China and Southeast 
Asian nations.While the Indonesian zone will focus on fisheries, the food industry and 
infrastructure as areas of cooperation, the Philippine zone will prioritise 
the petrochemical industry, agriculture and poultry processing, as well as 
investment in innovation and digital trade.“China and Asean countries will take advantage of complementary economic 
and trade cooperation [to] explore … cooperation models of their deeply 
integrated industrial chains, supply chains and value chains, and build a 
new high ground for economic and trade cooperation and exchanges,” a 
ministry spokesman said in a policy interpretation statement on Tuesday. 
{"@context":"https://schema.org","@type":"VideoObject","contentUrl":"https://www.youtube.com/embed/tYjXiJPiOpQ?wmode=transparent&amp;jqoemcache=UdCOW&amp;enablejsapi=1&amp;playsinline=1","description":"Ferdinand 
Marcos Jnr visits Beijing; Xi offers talks on joint oil exploration deal 
","duration":"PT2M37S","embedUrl":"https://www.scmp.com/news/china/diplomacy/article/3210193/new-chinese-trade-zones-philippines-indonesia-showcase-asean-bridge-and-bond","name":"Ferdinand 
Marcos Jnr visits Beijing; Xi offers talks on joint oil exploration deal 
","thumbnailUrl":["https://cdn.i-scmp.com/sites/default/files/d8/video/thumbnail/2023/01/05/clean_xi,marcos.jpg","https://cdn.i-scmp.com/sites/default/files/styles/wide_landscape/public/d8/video/thumbnail/2023/01/05/clean_xi,marcos.jpg?itok=5wDgTVgB","https://cdn.i-scmp.com/sites/default/files/styles/768x768/public/d8/video/thumbnail/2023/01/05/clean_xi,marcos.jpg?itok=DREZzLmY"],"uploadDate":"2023-02-14T14:30:10.000Z"}{"@context":"https://schema.org","@type":"ImageObject","url":"https://cdn.i-scmp.com/sites/default/files/styles/wide_landscape/public/d8/video/thumbnail/2023/01/05/clean_xi,marcos.jpg?itok=5wDgTVgB"}02:37Ferdinand 
Marcos Jnr visits Beijing; Xi offers talks on joint oil exploration deal 
Ferdinand Marcos Jnr visits Beijing; Xi offers talks on joint oil 
exploration deal Apart from the Philippines and Indonesia, the 10-member Association of 
Southeast Asian Nations includes Malaysia, Singapore, Brunei, Thailand, 
Vietnam, Cambodia, Laos and Myanmar.Proposals for building the “demonstration zones for innovative economic and 
trade development” with Indonesia and the Philippines – Southeast Asia’s 
two most populous countries – had been under discussion for a while and 
were approved in January.However, the details were not made public until this week, as tensions 
mounted over the South China Sea, a strategically important waterway and 
potential regional flashpoint where Beijing has territorial disputes with 
several Asean members.Tensions have run high since the Philippine coastguard on Monday accused a 
Chinese vessel of shining a “military-grade laser light” at one of its 
boats near a disputed South China Sea reef, temporarily blinding crew 
members.Manila filed a protest with the Chinese embassy the following day over what 
it called “acts of aggression by China”. The US backed Manila’s claim, 
saying the Chinese action was “provocative and unsafe”.Beijing has defended the coastguard engagement as “professional and 
restrained”.The Philippines and Japan, both treaty allies to the United States, have 
also agreed to deepen economic and security ties, as announced by 
Philippine President Ferdinand Marcos Jnr during a trip to Tokyo last week, 
in a move likely to rattle Beijing. 
{"@context":"https://schema.org","@type":"VideoObject","contentUrl":"https://www.youtube.com/embed/GV0OJEb6QKw?wmode=transparent&amp;jqoemcache=UdCOW&amp;enablejsapi=1&amp;playsinline=1","description":"Diaoyu-Senkaku 
islands spat deepens as Japan warns China over coastguard ships in East 
China 
Sea","duration":"PT1M56S","embedUrl":"https://www.scmp.com/news/china/diplomacy/article/3210193/new-chinese-trade-zones-philippines-indonesia-showcase-asean-bridge-and-bond","name":"Diaoyu-Senkaku 
islands spat deepens as Japan warns China over coastguard ships in East 
China 
Sea","thumbnailUrl":["https://cdn.i-scmp.com/sites/default/files/d8/video/thumbnail/2020/10/14/thumbnail_webyt_clean_1.jpg","https://cdn.i-scmp.com/sites/default/files/styles/wide_landscape/public/d8/video/thumbnail/2020/10/14/thumbnail_webyt_clean_1.jpg?itok=0grI8NUo","https://cdn.i-scmp.com/sites/default/files/styles/768x768/public/d8/video/thumbnail/2020/10/14/thumbnail_webyt_clean_1.jpg?itok=gOfoeGNG"],"uploadDate":"2023-02-14T14:30:10.000Z"}{"@context":"https://schema.org","@type":"ImageObject","url":"https://cdn.i-scmp.com/sites/default/files/styles/wide_landscape/public/d8/video/thumbnail/2020/10/14/thumbnail_webyt_clean_1.jpg?itok=0grI8NUo"}01:56Diaoyu-Senkaku 
islands spat deepens as Japan warns China over coastguard ships in East 
China SeaDiaoyu-Senkaku islands spat deepens as Japan warns China over 
coastguard ships in East China SeaMarcos Jnr and Japanese Prime Minister Fumio Kishida “expressed serious 
concerns about the situation” in the East China Sea and South China Sea and 
“strongly opposed actions including force or coercion that may increase 
tensions”, a joint statement released after their meeting in Tokyo said, 
without directly naming China.Chinese claims over most of the resource-rich South China Sea overlap with 
those of a number of Southeast Asian countries, including Vietnam, the 
Philippines, Malaysia and Brunei.Indonesia has no territorial disputes with China but often clashes with it 
over fishing rights off Natuna Islands in the southern section of the South 
China Sea.According to documents released by the Commerce Ministry, the two economic 
zones are part of a commitment made by Chinese President Xi Jinping in 
November 2021, when he pledged to “enhance trade and investment 
liberalisation and facilitation” as China and the Asean marked 30 years of 
diplomatic ties.Asean has been China’s largest trading partner since 2020, partly as a 
result of Beijing’s efforts to diversify exports to offset trade pressure 
from the US.The two sides are also part of the Regional Comprehensive Economic 
Partnership, the world’s largest free trade agreement involving 15 
countries – including Japan, South Korea, Australia and New Zealand – and 
accounting for 31 per cent of the global GDP.Earlier this month, China and Asean announced the launch of a new round of 
talks to upgrade the RCEP to cover commodity trade, investment, and the 
digital and green economies.</v>
      </c>
      <c r="I25" s="4"/>
    </row>
    <row r="26" spans="1:9" ht="15.75" customHeight="1">
      <c r="A26" s="3">
        <v>28</v>
      </c>
      <c r="B26" s="3" t="s">
        <v>92</v>
      </c>
      <c r="C26" s="3" t="s">
        <v>93</v>
      </c>
      <c r="D26" s="6" t="s">
        <v>94</v>
      </c>
      <c r="E26" s="7" t="s">
        <v>95</v>
      </c>
      <c r="F26" s="8" t="str">
        <f t="shared" si="0"/>
        <v>https://webcache.googleusercontent.com/search?q=cache:https://www.scmp.com/economy/china-economy/article/3236219/china-pushes-pivot-south-and-southeast-asia-yunnan-province-gateway-vast-market</v>
      </c>
      <c r="G26" s="3" t="str">
        <f ca="1">IFERROR(__xludf.DUMMYFUNCTION("IMPORTXML(F26,""/html/body/div[2]/div/div[1]/div/div/article/div/div/div/div[15]"")"),"#N/A")</f>
        <v>#N/A</v>
      </c>
    </row>
    <row r="27" spans="1:9" ht="15.75" customHeight="1">
      <c r="A27" s="3">
        <v>29</v>
      </c>
      <c r="B27" s="3" t="s">
        <v>96</v>
      </c>
      <c r="C27" s="3" t="s">
        <v>97</v>
      </c>
      <c r="D27" s="6" t="s">
        <v>98</v>
      </c>
      <c r="E27" s="5" t="s">
        <v>54</v>
      </c>
      <c r="F27" s="8" t="str">
        <f t="shared" si="0"/>
        <v>https://webcache.googleusercontent.com/search?q=cache:https://www.scmp.com/news/china/diplomacy/article/3245375/beijing-warming-south-china-sea-code-conduct</v>
      </c>
      <c r="G27" s="3" t="str">
        <f ca="1">IFERROR(__xludf.DUMMYFUNCTION("IMPORTXML(F27,""/html/body/div[2]/div/div[1]/div/div/article/div/div/div/div[15]"")"),"One of the world’s lengthiest diplomatic sagas – the decades-long marathon 
between Beijing and Asean to agree a code of conduct in the South China Sea 
– is back in the spotlight, with a recent surge in tensions in the disputed 
waters.China, which has b"&amp;"een accused of dragging its feet for about a quarter of a 
century, has taken a number of recent opportunities to show its support for 
an early resolution to the regional debate.But diplomatic sources noted that while China is now proactively seeking a 
"&amp;"conclusion to negotiations, the Association of Southeast Asian Nations is 
in no rush, showing more interest in aiming for a meaningful result than a 
quick one.")</f>
        <v>One of the world’s lengthiest diplomatic sagas – the decades-long marathon 
between Beijing and Asean to agree a code of conduct in the South China Sea 
– is back in the spotlight, with a recent surge in tensions in the disputed 
waters.China, which has been accused of dragging its feet for about a quarter of a 
century, has taken a number of recent opportunities to show its support for 
an early resolution to the regional debate.But diplomatic sources noted that while China is now proactively seeking a 
conclusion to negotiations, the Association of Southeast Asian Nations is 
in no rush, showing more interest in aiming for a meaningful result than a 
quick one.</v>
      </c>
      <c r="H27" s="4" t="s">
        <v>573</v>
      </c>
      <c r="I27" s="4"/>
    </row>
    <row r="28" spans="1:9" ht="15.75" customHeight="1">
      <c r="A28" s="3">
        <v>30</v>
      </c>
      <c r="B28" s="3" t="s">
        <v>99</v>
      </c>
      <c r="C28" s="3" t="s">
        <v>100</v>
      </c>
      <c r="D28" s="6" t="s">
        <v>101</v>
      </c>
      <c r="E28" s="7" t="s">
        <v>102</v>
      </c>
      <c r="F28" s="8" t="str">
        <f t="shared" si="0"/>
        <v>https://webcache.googleusercontent.com/search?q=cache:https://www.scmp.com/news/china/diplomacy/article/3215750/south-china-sea-china-pushes-code-conduct-talks-pledges-deeper-malaysia-asean-ties</v>
      </c>
      <c r="G28" s="3" t="str">
        <f ca="1">IFERROR(__xludf.DUMMYFUNCTION("IMPORTXML(F28,""/html/body/div[2]/div/div[1]/div/div/article/div/div/div/div[15]"")"),"China has pushed for talks on a protocol to manage territorial disputes in 
the South China Sea while pledging to strengthen ties with Malaysia – one 
of the rival Southeast Asian claimants in the resource-rich waterway.It came as Chinese Premier Li Qiang"&amp;" met Malaysian Prime Minister Anwar 
Ibrahim in Beijing, where he highlighted the need for regional cooperation.Five bilateral memorandums of understanding were signed during Anwar’s 
visit to Beijing, involving trade and economic relations, food security"&amp;" and 
agriculture.")</f>
        <v>China has pushed for talks on a protocol to manage territorial disputes in 
the South China Sea while pledging to strengthen ties with Malaysia – one 
of the rival Southeast Asian claimants in the resource-rich waterway.It came as Chinese Premier Li Qiang met Malaysian Prime Minister Anwar 
Ibrahim in Beijing, where he highlighted the need for regional cooperation.Five bilateral memorandums of understanding were signed during Anwar’s 
visit to Beijing, involving trade and economic relations, food security and 
agriculture.</v>
      </c>
      <c r="H28" s="4" t="str">
        <f ca="1">IFERROR(__xludf.DUMMYFUNCTION("""COMPUTED_VALUE"""),"According to Anwar’s official Twitter account, an investment commitment of 
170 billion ringgit (US$38 billion) focusing on green technology and the 
digital economy was also reached between companies from the two countries.China and Malaysia should “aim "&amp;"at cooperation in high-quality development, 
promote the well-being of the two countries and their people, and 
contribute to regional and global stability and development”, Li told Anwar.He also said that the two countries, along with others involved in "&amp;"South 
China Sea territorial disputes, should push forward talks on the code of 
conduct to “ensure peace and stability” of the waterway.“Win-win cooperation is the only correct choice [for us],” Li said, as he 
called to speed up talks on the long-awaite"&amp;"d code of conduct, as well as 
version 3.0 of the China-Asean free trade agreement.Negotiations between Beijing and the Association of Southeast Asian Nations 
on a South China Sea code of conduct date back to more than 20 years.Beijing claims almost the "&amp;"whole of the busy waterway under what it calls 
its historical “nine-dash line”. Four Asean members, including Malaysia, 
have competing claims, and a code is seen as a potential way to overcome 
this long-standing barrier to deeper regional ties.China so"&amp;"ught “integrated development” with Malaysia in areas ranging from 
supply chains, big data and agriculture, to education and media, Li told 
Anwar during their meeting on Saturday.Earlier, Anwar met Chinese President Xi Jinping, who highlighted the two 
A"&amp;"sian nations’ roles in promoting “globalisation and multilateralism”.Xi also said China was ready to strengthen the relationship with Malaysia 
and work with it to resist Cold War-style bloc confrontation.{""@context"":""https://schema.org"",""@type"":""I"&amp;"mageObject"",""caption"":""Chinese 
President Xi Jinping meets Malaysian Prime Minister Anwar Ibrahim in 
Beijing. Photo: 
Xinhua"",""url"":""https://img.i-scmp.com/cdn-cgi/image/fit=contain,width=1024,format=auto/sites/default/files/d8/images/canvas/2023"&amp;"/04/02/f015f6cd-1b07-4ec4-8863-aa4c4b02762f_ce53fd11.jpg""}Chinese 
President Xi Jinping meets Malaysian Prime Minister Anwar Ibrahim in 
Beijing. Photo: XinhuaThe series of corporate agreements signed at the Malaysia-China Business 
Forum held during Anw"&amp;"ar’s visit to Beijing included a deal between 
Malaysian carmaker DRB-Hicom and Zhejiang Geely Holding Group.The Malaysian Palm Oil Board also signed an agreement with a 
government-backed trade association in China, the world’s second-largest 
buyer of t"&amp;"he edible oil, Reuters reported.With territorial conflicts in the resource-rich and strategically important 
South China Sea seen as a major obstacle to regional cooperation, the 
countries involved agreed to work on a code of conduct in 2002.But disputes"&amp;" arose and talks did not begin until 2017, and even then 
progress was slow due to the pandemic and the complexity of the situation, 
with Asean often left walking a tightrope as China’s relations worsened 
with the United States, a key security partner f"&amp;"or several bloc members.In August 2021, then Chinese foreign minister Wang Yi – now the country’s 
top diplomat – signalled Beijing’s readiness to resume negotiations for the 
first time since the start of the Covid pandemic.He also described the United S"&amp;"tates as “the biggest troublemaker for 
regional stability”, citing the “confrontational and dangerous nature” of 
its Indo-Pacific strategy, which Beijing sees as aimed at containing China.According to Ding Duo, an associate research fellow at the Nation"&amp;"al 
Institute for South China Sea Studies, the pace of negotiations is expected 
to speed up with the latest round of talks in Indonesia last month.In an article for the Chinese state-backed tabloid Global Times, Ding 
stressed that countries negotiating "&amp;"the terms should ensure that the code 
focuses on “crisis management” rather than “consolidation of rights and 
claims”.“If disputes occur, they should be managed with standards and mechanisms 
established in the document.”He said the code should not only"&amp;" comply with the UN Convention on the Law 
of the Sea, but also the principles of international law in the United 
Nations Charter, and treat all parties concerned equally.")</f>
        <v>According to Anwar’s official Twitter account, an investment commitment of 
170 billion ringgit (US$38 billion) focusing on green technology and the 
digital economy was also reached between companies from the two countries.China and Malaysia should “aim at cooperation in high-quality development, 
promote the well-being of the two countries and their people, and 
contribute to regional and global stability and development”, Li told Anwar.He also said that the two countries, along with others involved in South 
China Sea territorial disputes, should push forward talks on the code of 
conduct to “ensure peace and stability” of the waterway.“Win-win cooperation is the only correct choice [for us],” Li said, as he 
called to speed up talks on the long-awaited code of conduct, as well as 
version 3.0 of the China-Asean free trade agreement.Negotiations between Beijing and the Association of Southeast Asian Nations 
on a South China Sea code of conduct date back to more than 20 years.Beijing claims almost the whole of the busy waterway under what it calls 
its historical “nine-dash line”. Four Asean members, including Malaysia, 
have competing claims, and a code is seen as a potential way to overcome 
this long-standing barrier to deeper regional ties.China sought “integrated development” with Malaysia in areas ranging from 
supply chains, big data and agriculture, to education and media, Li told 
Anwar during their meeting on Saturday.Earlier, Anwar met Chinese President Xi Jinping, who highlighted the two 
Asian nations’ roles in promoting “globalisation and multilateralism”.Xi also said China was ready to strengthen the relationship with Malaysia 
and work with it to resist Cold War-style bloc confrontation.{"@context":"https://schema.org","@type":"ImageObject","caption":"Chinese 
President Xi Jinping meets Malaysian Prime Minister Anwar Ibrahim in 
Beijing. Photo: 
Xinhua","url":"https://img.i-scmp.com/cdn-cgi/image/fit=contain,width=1024,format=auto/sites/default/files/d8/images/canvas/2023/04/02/f015f6cd-1b07-4ec4-8863-aa4c4b02762f_ce53fd11.jpg"}Chinese 
President Xi Jinping meets Malaysian Prime Minister Anwar Ibrahim in 
Beijing. Photo: XinhuaThe series of corporate agreements signed at the Malaysia-China Business 
Forum held during Anwar’s visit to Beijing included a deal between 
Malaysian carmaker DRB-Hicom and Zhejiang Geely Holding Group.The Malaysian Palm Oil Board also signed an agreement with a 
government-backed trade association in China, the world’s second-largest 
buyer of the edible oil, Reuters reported.With territorial conflicts in the resource-rich and strategically important 
South China Sea seen as a major obstacle to regional cooperation, the 
countries involved agreed to work on a code of conduct in 2002.But disputes arose and talks did not begin until 2017, and even then 
progress was slow due to the pandemic and the complexity of the situation, 
with Asean often left walking a tightrope as China’s relations worsened 
with the United States, a key security partner for several bloc members.In August 2021, then Chinese foreign minister Wang Yi – now the country’s 
top diplomat – signalled Beijing’s readiness to resume negotiations for the 
first time since the start of the Covid pandemic.He also described the United States as “the biggest troublemaker for 
regional stability”, citing the “confrontational and dangerous nature” of 
its Indo-Pacific strategy, which Beijing sees as aimed at containing China.According to Ding Duo, an associate research fellow at the National 
Institute for South China Sea Studies, the pace of negotiations is expected 
to speed up with the latest round of talks in Indonesia last month.In an article for the Chinese state-backed tabloid Global Times, Ding 
stressed that countries negotiating the terms should ensure that the code 
focuses on “crisis management” rather than “consolidation of rights and 
claims”.“If disputes occur, they should be managed with standards and mechanisms 
established in the document.”He said the code should not only comply with the UN Convention on the Law 
of the Sea, but also the principles of international law in the United 
Nations Charter, and treat all parties concerned equally.</v>
      </c>
      <c r="I28" s="4"/>
    </row>
    <row r="29" spans="1:9" ht="15.75" customHeight="1">
      <c r="A29" s="3">
        <v>31</v>
      </c>
      <c r="B29" s="3" t="s">
        <v>103</v>
      </c>
      <c r="C29" s="3" t="s">
        <v>104</v>
      </c>
      <c r="D29" s="6" t="s">
        <v>105</v>
      </c>
      <c r="E29" s="7" t="s">
        <v>106</v>
      </c>
      <c r="F29" s="8" t="str">
        <f t="shared" si="0"/>
        <v>https://webcache.googleusercontent.com/search?q=cache:https://www.scmp.com/news/asia/east-asia/article/3245319/japan-asean-summit-advance-security-cooperation-amid-growing-south-china-sea-tension</v>
      </c>
      <c r="G29" s="3" t="str">
        <f ca="1">IFERROR(__xludf.DUMMYFUNCTION("IMPORTXML(F29,""/html/body/div[2]/div/div[1]/div/div/article/div/div/div/div[15]"")"),"#N/A")</f>
        <v>#N/A</v>
      </c>
    </row>
    <row r="30" spans="1:9" ht="15.75" customHeight="1">
      <c r="A30" s="3">
        <v>32</v>
      </c>
      <c r="B30" s="3" t="s">
        <v>107</v>
      </c>
      <c r="C30" s="3" t="s">
        <v>108</v>
      </c>
      <c r="D30" s="6" t="s">
        <v>109</v>
      </c>
      <c r="E30" s="5" t="s">
        <v>54</v>
      </c>
      <c r="F30" s="8" t="str">
        <f t="shared" si="0"/>
        <v>https://webcache.googleusercontent.com/search?q=cache:https://www.scmp.com/news/asia/southeast-asia/article/3223411/south-china-sea-asean-hold-first-joint-military-drills-amid-rising-china-tensions</v>
      </c>
      <c r="G30" s="3" t="str">
        <f ca="1">IFERROR(__xludf.DUMMYFUNCTION("IMPORTXML(F30,""/html/body/div[2]/div/div[1]/div/div/article/div/div/div/div[15]"")"),"The Southeast Asian bloc Asean will hold its first-ever joint military 
exercise in the South China Sea, its chair Indonesia said on Thursday, the 
latest multilateral security drills at a time of rising tension and 
uncertainty in the region.The decision"&amp;" was taken at a meeting of military commanders of the 10-member 
Association of Southeast Asian Nations (Asean) in Indonesia, which will 
host the exercise in the North Natuna Sea, the southernmost waters of the 
South China Sea.Indonesia’s military chief"&amp;", Admiral Yudo Margono, told state-run news 
agency Antara the exercise would be in September and would not include any 
combat operations training. The purpose, Margono said, was strengthening 
“Asean centrality”. 
{""@context"":""https://schema.org"","""&amp;"@type"":""VideoObject"",""contentUrl"":""https://www.youtube.com/embed/8eqtl0ym1p8?wmode=transparent&amp;jqoemcache=UdCOW&amp;enablejsapi=1&amp;playsinline=1"",""description"":""The 
South China Sea dispute 
explained"",""duration"":""PT3M23S"",""embedUrl"":""https:/"&amp;"/www.scmp.com/news/asia/southeast-asia/article/3223411/south-china-sea-asean-hold-first-joint-military-drills-amid-rising-china-tensions"",""name"":""The 
South China Sea dispute 
explained"",""thumbnailUrl"":[""https://cdn1.i-scmp.com/sites/default/files"&amp;"/video/thumbnail/thumbnail_44.jpg"",""https://cdn2.i-scmp.com/sites/default/files/styles/wide_landscape/public/video/thumbnail/thumbnail_44.jpg?itok=-ZdnDSYq"",""https://cdn1.i-scmp.com/sites/default/files/styles/768x768/public/video/thumbnail/thumbnail_4"&amp;"4.jpg?itok=kkI1LyEO""],""uploadDate"":""2023-06-08T11:19:08.000Z""}{""@context"":""https://schema.org"",""@type"":""ImageObject"",""url"":""https://cdn2.i-scmp.com/sites/default/files/styles/wide_landscape/public/video/thumbnail/thumbnail_44.jpg?itok=-Zdn"&amp;"DSYq""}03:23The 
South China Sea dispute explainedThe South China Sea dispute explainedAsean’s unity has for years been tested by a rivalry between the United 
States and China that is being played out in the South China Sea. Asean 
members Vietnam, the P"&amp;"hilippines, Brunei and Malaysia have competing claims 
with Beijing, which asserts sovereignty over vast stretches of ocean that 
include parts of Indonesia’s exclusive economic zone (EEZ).")</f>
        <v>The Southeast Asian bloc Asean will hold its first-ever joint military 
exercise in the South China Sea, its chair Indonesia said on Thursday, the 
latest multilateral security drills at a time of rising tension and 
uncertainty in the region.The decision was taken at a meeting of military commanders of the 10-member 
Association of Southeast Asian Nations (Asean) in Indonesia, which will 
host the exercise in the North Natuna Sea, the southernmost waters of the 
South China Sea.Indonesia’s military chief, Admiral Yudo Margono, told state-run news 
agency Antara the exercise would be in September and would not include any 
combat operations training. The purpose, Margono said, was strengthening 
“Asean centrality”. 
{"@context":"https://schema.org","@type":"VideoObject","contentUrl":"https://www.youtube.com/embed/8eqtl0ym1p8?wmode=transparent&amp;jqoemcache=UdCOW&amp;enablejsapi=1&amp;playsinline=1","description":"The 
South China Sea dispute 
explained","duration":"PT3M23S","embedUrl":"https://www.scmp.com/news/asia/southeast-asia/article/3223411/south-china-sea-asean-hold-first-joint-military-drills-amid-rising-china-tensions","name":"The 
South China Sea dispute 
explained","thumbnailUrl":["https://cdn1.i-scmp.com/sites/default/files/video/thumbnail/thumbnail_44.jpg","https://cdn2.i-scmp.com/sites/default/files/styles/wide_landscape/public/video/thumbnail/thumbnail_44.jpg?itok=-ZdnDSYq","https://cdn1.i-scmp.com/sites/default/files/styles/768x768/public/video/thumbnail/thumbnail_44.jpg?itok=kkI1LyEO"],"uploadDate":"2023-06-08T11:19:08.000Z"}{"@context":"https://schema.org","@type":"ImageObject","url":"https://cdn2.i-scmp.com/sites/default/files/styles/wide_landscape/public/video/thumbnail/thumbnail_44.jpg?itok=-ZdnDSYq"}03:23The 
South China Sea dispute explainedThe South China Sea dispute explainedAsean’s unity has for years been tested by a rivalry between the United 
States and China that is being played out in the South China Sea. Asean 
members Vietnam, the Philippines, Brunei and Malaysia have competing claims 
with Beijing, which asserts sovereignty over vast stretches of ocean that 
include parts of Indonesia’s exclusive economic zone (EEZ).</v>
      </c>
      <c r="H30" s="4" t="str">
        <f ca="1">IFERROR(__xludf.DUMMYFUNCTION("""COMPUTED_VALUE"""),"Indonesian military spokesperson Julius Widjojono said the exercise was 
related to the “high risk of disaster in Asia, especially Southeast Asia.”A conduit for about US$3.5 trillion of annual ship-borne trade, the South 
China Sea has seen constant tensi"&amp;"on of late as China presses its claims 
with a huge deployment of coastguard and fishing boats as far as 1,500km 
(932 miles) off its coastline.China claims sovereignty via an expansive “nine-dash line” based on its 
historic maps, which an international "&amp;"arbitration court in 2016 ruled had 
no legal basis.Asean has been pushing for a long-awaited maritime code of conduct with 
China to be completed and several of its members have had run-ins with 
Beijing in recent months.Vietnam criticised China’s deploy"&amp;"ment of a research vessel near several gas 
blocs in its EEZ, while Beijing was accused of sending suspected maritime 
militia into waters where navies of India and Asean countries held an 
exercise.The Philippines chided China’s coastguard for “dangerous"&amp;" manoeuvres” and 
“aggressive tactics” and plans to hold joint patrols with the United 
States, on top of an inaugural trilateral coastguard exercise they held 
with Japan this week.China maintains its coastguard is performing regular operations in what i"&amp;"s 
Chinese sovereign territory.")</f>
        <v>Indonesian military spokesperson Julius Widjojono said the exercise was 
related to the “high risk of disaster in Asia, especially Southeast Asia.”A conduit for about US$3.5 trillion of annual ship-borne trade, the South 
China Sea has seen constant tension of late as China presses its claims 
with a huge deployment of coastguard and fishing boats as far as 1,500km 
(932 miles) off its coastline.China claims sovereignty via an expansive “nine-dash line” based on its 
historic maps, which an international arbitration court in 2016 ruled had 
no legal basis.Asean has been pushing for a long-awaited maritime code of conduct with 
China to be completed and several of its members have had run-ins with 
Beijing in recent months.Vietnam criticised China’s deployment of a research vessel near several gas 
blocs in its EEZ, while Beijing was accused of sending suspected maritime 
militia into waters where navies of India and Asean countries held an 
exercise.The Philippines chided China’s coastguard for “dangerous manoeuvres” and 
“aggressive tactics” and plans to hold joint patrols with the United 
States, on top of an inaugural trilateral coastguard exercise they held 
with Japan this week.China maintains its coastguard is performing regular operations in what is 
Chinese sovereign territory.</v>
      </c>
      <c r="I30" s="4"/>
    </row>
    <row r="31" spans="1:9" ht="15.75" customHeight="1">
      <c r="A31" s="3">
        <v>33</v>
      </c>
      <c r="B31" s="3" t="s">
        <v>110</v>
      </c>
      <c r="C31" s="3" t="s">
        <v>111</v>
      </c>
      <c r="D31" s="6" t="s">
        <v>112</v>
      </c>
      <c r="E31" s="7" t="s">
        <v>113</v>
      </c>
      <c r="F31" s="8" t="str">
        <f t="shared" si="0"/>
        <v>https://webcache.googleusercontent.com/search?q=cache:https://www.scmp.com/news/asia/southeast-asia/article/3242134/south-china-sea-philippines-asks-malaysia-vietnam-our-own-code-conduct-amid-slow-progress-beijing</v>
      </c>
      <c r="G31" s="3" t="str">
        <f ca="1">IFERROR(__xludf.DUMMYFUNCTION("IMPORTXML(F31,""/html/body/div[2]/div/div[1]/div/div/article/div/div/div/div[15]"")"),"The Philippines has approached neighbours such as Malaysia and Vietnam to 
discuss a separate code of conduct regarding the South China Sea, its 
president said on Monday, citing limited progress towards striking a 
broader regional pact with China.Relati"&amp;"ons between Beijing and Manila have grown more tense under President 
Ferdinand Marcos Jnr, who has increasingly complained about China’s 
“aggressive” behaviour while rekindling strong ties with the Philippines’ 
sole treaty ally, the United States.Speak"&amp;"ing in Hawaii at a live-streamed event, Marcos Jnr said escalating 
tension in the South China Sea required the Philippines to partner with 
allies and neighbours to maintain peace in the busy waterway, with the 
situation now “more dire”. 
{""@context"":"&amp;"""https://schema.org"",""@type"":""VideoObject"",""contentUrl"":""https://www.youtube.com/embed/0MvqJEdZkDQ?wmode=transparent&amp;jqoemcache=UdCOW&amp;enablejsapi=1&amp;playsinline=1"",""description"":""Beijing 
and Manila trade blame over ‘provocative’ moves with sh"&amp;"ip collisions near 
disputed 
shoal"",""duration"":""PT2M3S"",""embedUrl"":""https://www.scmp.com/news/asia/southeast-asia/article/3242134/south-china-sea-philippines-asks-malaysia-vietnam-our-own-code-conduct-amid-slow-progress-beijing"",""name"":""Beiji"&amp;"ng 
and Manila trade blame over ‘provocative’ moves with ship collisions near 
disputed 
shoal"",""thumbnailUrl"":[""https://cdn.i-scmp.com/sites/default/files/d8/video/thumbnail/2023/10/23/clean-thumb.jpg"",""https://cdn.i-scmp.com/sites/default/files/st"&amp;"yles/wide_landscape/public/d8/video/thumbnail/2023/10/23/clean-thumb.jpg?itok=H3XNHuAV"",""https://cdn.i-scmp.com/sites/default/files/styles/768x768/public/d8/video/thumbnail/2023/10/23/clean-thumb.jpg?itok=MIE2qoXd""],""uploadDate"":""2023-11-20T04:04:54"&amp;".000Z""}{""@context"":""https://schema.org"",""@type"":""ImageObject"",""url"":""https://cdn.i-scmp.com/sites/default/files/styles/wide_landscape/public/d8/video/thumbnail/2023/10/23/clean-thumb.jpg?itok=H3XNHuAV""}02:03Beijing 
and Manila trade blame ove"&amp;"r ‘provocative’ moves with ship collisions near 
disputed shoalBeijing and Manila trade blame over ‘provocative’ moves with 
ship collisions near disputed shoal“We are still waiting for the code of conduct between China and Asean and 
the progress has bee"&amp;"n rather slow unfortunately,” Marcos Jnr said, 
referring to efforts by the grouping of Southeast Asian nations.")</f>
        <v>The Philippines has approached neighbours such as Malaysia and Vietnam to 
discuss a separate code of conduct regarding the South China Sea, its 
president said on Monday, citing limited progress towards striking a 
broader regional pact with China.Relations between Beijing and Manila have grown more tense under President 
Ferdinand Marcos Jnr, who has increasingly complained about China’s 
“aggressive” behaviour while rekindling strong ties with the Philippines’ 
sole treaty ally, the United States.Speaking in Hawaii at a live-streamed event, Marcos Jnr said escalating 
tension in the South China Sea required the Philippines to partner with 
allies and neighbours to maintain peace in the busy waterway, with the 
situation now “more dire”. 
{"@context":"https://schema.org","@type":"VideoObject","contentUrl":"https://www.youtube.com/embed/0MvqJEdZkDQ?wmode=transparent&amp;jqoemcache=UdCOW&amp;enablejsapi=1&amp;playsinline=1","description":"Beijing 
and Manila trade blame over ‘provocative’ moves with ship collisions near 
disputed 
shoal","duration":"PT2M3S","embedUrl":"https://www.scmp.com/news/asia/southeast-asia/article/3242134/south-china-sea-philippines-asks-malaysia-vietnam-our-own-code-conduct-amid-slow-progress-beijing","name":"Beijing 
and Manila trade blame over ‘provocative’ moves with ship collisions near 
disputed 
shoal","thumbnailUrl":["https://cdn.i-scmp.com/sites/default/files/d8/video/thumbnail/2023/10/23/clean-thumb.jpg","https://cdn.i-scmp.com/sites/default/files/styles/wide_landscape/public/d8/video/thumbnail/2023/10/23/clean-thumb.jpg?itok=H3XNHuAV","https://cdn.i-scmp.com/sites/default/files/styles/768x768/public/d8/video/thumbnail/2023/10/23/clean-thumb.jpg?itok=MIE2qoXd"],"uploadDate":"2023-11-20T04:04:54.000Z"}{"@context":"https://schema.org","@type":"ImageObject","url":"https://cdn.i-scmp.com/sites/default/files/styles/wide_landscape/public/d8/video/thumbnail/2023/10/23/clean-thumb.jpg?itok=H3XNHuAV"}02:03Beijing 
and Manila trade blame over ‘provocative’ moves with ship collisions near 
disputed shoalBeijing and Manila trade blame over ‘provocative’ moves with 
ship collisions near disputed shoal“We are still waiting for the code of conduct between China and Asean and 
the progress has been rather slow unfortunately,” Marcos Jnr said, 
referring to efforts by the grouping of Southeast Asian nations.</v>
      </c>
      <c r="H31" s="4" t="str">
        <f ca="1">IFERROR(__xludf.DUMMYFUNCTION("""COMPUTED_VALUE"""),"“We have taken the initiative to approach those other countries around 
Asean with whom we have existing territorial conflicts, Vietnam being one 
of them, Malaysia being another and to make our own code of conduct.“Hopefully this will grow further and ex"&amp;"tend to other Asean countries.”The embassies of China, Malaysia and Vietnam in Manila did not immediately 
respond to a request for comment on a possible code.The remarks by Marcos Jnr followed his meeting on Friday with Chinese 
President Xi Jinping on t"&amp;"he sidelines of the Asia-Pacific Economic 
Cooperation forum in San Francisco.The leaders discussed ways to reduce tension in the disputed strategic 
waters after a series of confrontations this year.In the past few years, Asean and China have worked towa"&amp;"rds creating a 
framework to negotiate a code of conduct, a plan dating as far back as 
2002. But progress has been slow despite commitments by all parties to 
advance and accelerate the process.{""@context"":""https://schema.org"",""@type"":""ImageObject"&amp;""",""caption"":""Chinese 
coastguard personnel take pictures and videos of Philippine ships during a 
resupply mission to a Philippine vessel in a disputed South China Sea shoal 
earlier this month. Photo: 
Bloomberg"",""url"":""https://img.i-scmp.com/cdn"&amp;"-cgi/image/fit=contain,width=1024,format=auto/sites/default/files/d8/images/canvas/2023/11/20/7cd3eb40-183f-4a68-a171-1550c71aedbd_3aeb65d0.jpg""}Chinese 
coastguard personnel take pictures and videos of Philippine ships during a 
resupply mission to a Ph"&amp;"ilippine vessel in a disputed South China Sea shoal 
earlier this month. Photo: BloombergTalks on components of the code have yet to start, with concerns about how 
far China, which claims ownership of most of the South China Sea, is 
committed to a bindi"&amp;"ng set of rules that Asean nations want to align with 
existing international law.China stakes its claim on its maps with the use of a “nine-dash line” that 
loops as far as 1,500km (900 miles) south of its mainland, cutting into the 
exclusive economic z"&amp;"ones of Brunei, Indonesia, Malaysia, the Philippines 
and Vietnam.Manila and Beijing have engaged in on-off confrontations for years as China 
has become more assertive in pressing its maritime claims, alarming 
neighbours and other nations operating in t"&amp;"he key trade route, such as the 
US.China has turned submerged reefs into military installations equipped with 
radar, runways and missile systems, some inside the Philippines’ exclusive 
economic zone.“The nearest reefs that the PLA has started to show i"&amp;"nterest in … for 
building bases have come closer and closer to the Philippine coastline,” 
said Marcos Jnr, referring to the People’s Liberation Army Navy of China.“The situation has become more dire than it was before.”By contrast, Marcos Jnr added, the"&amp;" United States “has always been behind us 
… not only in terms of rhetoric, but also in terms of concrete support”.")</f>
        <v>“We have taken the initiative to approach those other countries around 
Asean with whom we have existing territorial conflicts, Vietnam being one 
of them, Malaysia being another and to make our own code of conduct.“Hopefully this will grow further and extend to other Asean countries.”The embassies of China, Malaysia and Vietnam in Manila did not immediately 
respond to a request for comment on a possible code.The remarks by Marcos Jnr followed his meeting on Friday with Chinese 
President Xi Jinping on the sidelines of the Asia-Pacific Economic 
Cooperation forum in San Francisco.The leaders discussed ways to reduce tension in the disputed strategic 
waters after a series of confrontations this year.In the past few years, Asean and China have worked towards creating a 
framework to negotiate a code of conduct, a plan dating as far back as 
2002. But progress has been slow despite commitments by all parties to 
advance and accelerate the process.{"@context":"https://schema.org","@type":"ImageObject","caption":"Chinese 
coastguard personnel take pictures and videos of Philippine ships during a 
resupply mission to a Philippine vessel in a disputed South China Sea shoal 
earlier this month. Photo: 
Bloomberg","url":"https://img.i-scmp.com/cdn-cgi/image/fit=contain,width=1024,format=auto/sites/default/files/d8/images/canvas/2023/11/20/7cd3eb40-183f-4a68-a171-1550c71aedbd_3aeb65d0.jpg"}Chinese 
coastguard personnel take pictures and videos of Philippine ships during a 
resupply mission to a Philippine vessel in a disputed South China Sea shoal 
earlier this month. Photo: BloombergTalks on components of the code have yet to start, with concerns about how 
far China, which claims ownership of most of the South China Sea, is 
committed to a binding set of rules that Asean nations want to align with 
existing international law.China stakes its claim on its maps with the use of a “nine-dash line” that 
loops as far as 1,500km (900 miles) south of its mainland, cutting into the 
exclusive economic zones of Brunei, Indonesia, Malaysia, the Philippines 
and Vietnam.Manila and Beijing have engaged in on-off confrontations for years as China 
has become more assertive in pressing its maritime claims, alarming 
neighbours and other nations operating in the key trade route, such as the 
US.China has turned submerged reefs into military installations equipped with 
radar, runways and missile systems, some inside the Philippines’ exclusive 
economic zone.“The nearest reefs that the PLA has started to show interest in … for 
building bases have come closer and closer to the Philippine coastline,” 
said Marcos Jnr, referring to the People’s Liberation Army Navy of China.“The situation has become more dire than it was before.”By contrast, Marcos Jnr added, the United States “has always been behind us 
… not only in terms of rhetoric, but also in terms of concrete support”.</v>
      </c>
      <c r="I31" s="4"/>
    </row>
    <row r="32" spans="1:9" ht="15.75" customHeight="1">
      <c r="A32" s="3">
        <v>34</v>
      </c>
      <c r="B32" s="3" t="s">
        <v>114</v>
      </c>
      <c r="C32" s="3" t="s">
        <v>115</v>
      </c>
      <c r="D32" s="6" t="s">
        <v>116</v>
      </c>
      <c r="E32" s="5" t="s">
        <v>54</v>
      </c>
      <c r="F32" s="8" t="str">
        <f t="shared" si="0"/>
        <v>https://webcache.googleusercontent.com/search?q=cache:https://www.scmp.com/economy/china-economy/article/3242984/south-china-sea-openness-encouraged-shore-marine-economy-after-disputes-threaten-capsize-relations</v>
      </c>
      <c r="G32" s="3" t="str">
        <f ca="1">IFERROR(__xludf.DUMMYFUNCTION("IMPORTXML(F32,""/html/body/div[2]/div/div[1]/div/div/article/div/div/div/div[15]"")"),"In light of maritime disputes with neighbouring countries and the lack of 
trust and confidence these conflicts have engendered, the head of a top 
Chinese think tank has called for a strategy of unilateral opening-up in 
the marine sector to address the "&amp;"issue head-on.Chi Fulin, president of the Hainan-based China Institute for Reform and 
Development, proffered the strategy as a means of rapprochement with 
Southeast Asian countries, many of which dispute China’s claims over the 
South China Sea.Global o"&amp;"cean governance is facing serious challenges due to changes in 
relations between major powers, and opening up at a high level is crucial 
for promoting marine economic cooperation between China and the world, he 
said at the China Ocean Economy Expo on S"&amp;"aturday in Shenzhen.If China wants to be a leader in this marine economy … they need to take 
responsibilityKlaus Zenkel, European Union Chamber of Commerce in China“We recently proposed a strategic recommendation for unilateral opening-up 
to Asean,” he "&amp;"said, calling the 10-country Association of Southeast Asian 
Nations a “strategic leverage point” in the region.")</f>
        <v>In light of maritime disputes with neighbouring countries and the lack of 
trust and confidence these conflicts have engendered, the head of a top 
Chinese think tank has called for a strategy of unilateral opening-up in 
the marine sector to address the issue head-on.Chi Fulin, president of the Hainan-based China Institute for Reform and 
Development, proffered the strategy as a means of rapprochement with 
Southeast Asian countries, many of which dispute China’s claims over the 
South China Sea.Global ocean governance is facing serious challenges due to changes in 
relations between major powers, and opening up at a high level is crucial 
for promoting marine economic cooperation between China and the world, he 
said at the China Ocean Economy Expo on Saturday in Shenzhen.If China wants to be a leader in this marine economy … they need to take 
responsibilityKlaus Zenkel, European Union Chamber of Commerce in China“We recently proposed a strategic recommendation for unilateral opening-up 
to Asean,” he said, calling the 10-country Association of Southeast Asian 
Nations a “strategic leverage point” in the region.</v>
      </c>
      <c r="H32" s="4" t="str">
        <f ca="1">IFERROR(__xludf.DUMMYFUNCTION("""COMPUTED_VALUE"""),"“In the South China Sea, where other issues are challenging to resolve in 
the short term, the ‘blue economy’ has become one of the most important 
[factors] in China-Asean cooperation,” Chi added, referring to the use of 
ocean resources for development "&amp;"and growth while continuing to prioritise 
conservation.He specifically mentioned tourism – encouraging domestic and Asean 
enterprises to develop tourism in the South China Sea – and fishery when 
discussing what form that cooperation would take. 
{""@co"&amp;"ntext"":""https://schema.org"",""@type"":""VideoObject"",""contentUrl"":""https://www.youtube.com/embed/TzManq3vaFc?wmode=transparent&amp;jqoemcache=UdCOW&amp;enablejsapi=1&amp;playsinline=1"",""description"":""Why 
the South China Sea dispute remains one of the regi"&amp;"on’s most pressing 
issues"",""duration"":""PT5M22S"",""embedUrl"":""https://www.scmp.com/economy/china-economy/article/3242984/south-china-sea-openness-encouraged-shore-marine-economy-after-disputes-threaten-capsize-relations"",""name"":""Why 
the South "&amp;"China Sea dispute remains one of the region’s most pressing 
issues"",""thumbnailUrl"":[""https://cdn.i-scmp.com/sites/default/files/d8/video/thumbnail/2023/09/27/270923-Clean-.jpg"",""https://cdn.i-scmp.com/sites/default/files/styles/wide_landscape/publi"&amp;"c/d8/video/thumbnail/2023/09/27/270923-Clean-.jpg?itok=DHnaezV1"",""https://cdn.i-scmp.com/sites/default/files/styles/768x768/public/d8/video/thumbnail/2023/09/27/270923-Clean-.jpg?itok=2Sf2CZqC""],""uploadDate"":""2023-11-28T00:00:21.000Z""}{""@context"""&amp;":""https://schema.org"",""@type"":""ImageObject"",""url"":""https://cdn.i-scmp.com/sites/default/files/styles/wide_landscape/public/d8/video/thumbnail/2023/09/27/270923-Clean-.jpg?itok=DHnaezV1""}05:22Why 
the South China Sea dispute remains one of the re"&amp;"gion’s most pressing 
issuesWhy the South China Sea dispute remains one of the region’s most 
pressing issuesThe remarks come at a time when China is delving into deep-sea exploration 
to make use of marine resources, such as offshore wind power, to enhan"&amp;"ce 
its energy supply as well as the economies of its coast.According to the 2023 China Ocean Economic Development Index, released on 
Saturday by the National Marine Data and Information Service, China’s 2022 
gross marine product – a calculation of the "&amp;"economic value provided by the 
ocean – increased by 1.9 per cent year on year to 9.5 trillion yuan (US$1.3 
trillion), with the value added per hectare by marine industries growing 
3.1 per cent in nominal terms from the year before.Emerging marine indus"&amp;"tries, including advanced manufacturing, services and 
coastal tourism, grew more than 7.9 per cent year on year, while offshore 
wind power generation more than doubled.Local governments in Shenzhen, as well as Liaoning and Shandong provinces, 
are racin"&amp;"g to incentivise marine industry growth as part of China’s efforts 
to expand its blue economy.Zhang Chunyu, a researcher at the Chinese Academy of Social Sciences, said 
he believes that Shenzhen, a southern port city already well-known as 
China’s tech "&amp;"hub, would be an optimal choice.The city is now building Shenzhen Maritime University as part of its plan 
to become a maritime industry centre, and last year the local government 
announced a policy fund of up to 10 billion yuan to support the shipping 
"&amp;"industry.According to official data, Shenzhen’s citywide marine gross domestic 
product (GDP) reached 300 billion yuan in 2022, up 3.9 per cent year on 
year and accounting for 9.7 per cent of total GDP.Klaus Zenkel, vice-president of the European Union C"&amp;"hamber of Commerce in 
China and chair of its south China chapter, said at the forum the 
development of the maritime economy, like many other sectors, is marred by 
a lack of confidence.“Unpredictability is not good,” he said. “So make sure people come h"&amp;"ere, 
they can plan ahead for a decade, for example, and don’t have to be 
interrupted by a new law like the cybersecurity law and anti-spy law.” 
{""@context"":""https://schema.org"",""@type"":""VideoObject"",""contentUrl"":""https://www.youtube.com/embe"&amp;"d/0MvqJEdZkDQ?wmode=transparent&amp;jqoemcache=UdCOW&amp;enablejsapi=1&amp;playsinline=1"",""description"":""Beijing 
and Manila trade blame over ‘provocative’ moves with ship collisions near 
disputed 
shoal"",""duration"":""PT2M3S"",""embedUrl"":""https://www.scmp."&amp;"com/economy/china-economy/article/3242984/south-china-sea-openness-encouraged-shore-marine-economy-after-disputes-threaten-capsize-relations"",""name"":""Beijing 
and Manila trade blame over ‘provocative’ moves with ship collisions near 
disputed 
shoal"""&amp;",""thumbnailUrl"":[""https://cdn.i-scmp.com/sites/default/files/d8/video/thumbnail/2023/10/23/clean-thumb.jpg"",""https://cdn.i-scmp.com/sites/default/files/styles/wide_landscape/public/d8/video/thumbnail/2023/10/23/clean-thumb.jpg?itok=H3XNHuAV"",""https"&amp;"://cdn.i-scmp.com/sites/default/files/styles/768x768/public/d8/video/thumbnail/2023/10/23/clean-thumb.jpg?itok=MIE2qoXd""],""uploadDate"":""2023-11-28T00:00:21.000Z""}{""@context"":""https://schema.org"",""@type"":""ImageObject"",""url"":""https://cdn.i-s"&amp;"cmp.com/sites/default/files/styles/wide_landscape/public/d8/video/thumbnail/2023/10/23/clean-thumb.jpg?itok=H3XNHuAV""}02:03Beijing 
and Manila trade blame over ‘provocative’ moves with ship collisions near 
disputed shoalBeijing and Manila trade blame ov"&amp;"er ‘provocative’ moves with 
ship collisions near disputed shoalHe emphasised the need for China to proactively take action to gain 
traction in the sector.“If China wants to be a leader in this marine economy, I think they need to 
take responsibility,” "&amp;"he said. “They need to start a dialogue with all the 
countries on a working level, not on a political level.”")</f>
        <v>“In the South China Sea, where other issues are challenging to resolve in 
the short term, the ‘blue economy’ has become one of the most important 
[factors] in China-Asean cooperation,” Chi added, referring to the use of 
ocean resources for development and growth while continuing to prioritise 
conservation.He specifically mentioned tourism – encouraging domestic and Asean 
enterprises to develop tourism in the South China Sea – and fishery when 
discussing what form that cooperation would take. 
{"@context":"https://schema.org","@type":"VideoObject","contentUrl":"https://www.youtube.com/embed/TzManq3vaFc?wmode=transparent&amp;jqoemcache=UdCOW&amp;enablejsapi=1&amp;playsinline=1","description":"Why 
the South China Sea dispute remains one of the region’s most pressing 
issues","duration":"PT5M22S","embedUrl":"https://www.scmp.com/economy/china-economy/article/3242984/south-china-sea-openness-encouraged-shore-marine-economy-after-disputes-threaten-capsize-relations","name":"Why 
the South China Sea dispute remains one of the region’s most pressing 
issues","thumbnailUrl":["https://cdn.i-scmp.com/sites/default/files/d8/video/thumbnail/2023/09/27/270923-Clean-.jpg","https://cdn.i-scmp.com/sites/default/files/styles/wide_landscape/public/d8/video/thumbnail/2023/09/27/270923-Clean-.jpg?itok=DHnaezV1","https://cdn.i-scmp.com/sites/default/files/styles/768x768/public/d8/video/thumbnail/2023/09/27/270923-Clean-.jpg?itok=2Sf2CZqC"],"uploadDate":"2023-11-28T00:00:21.000Z"}{"@context":"https://schema.org","@type":"ImageObject","url":"https://cdn.i-scmp.com/sites/default/files/styles/wide_landscape/public/d8/video/thumbnail/2023/09/27/270923-Clean-.jpg?itok=DHnaezV1"}05:22Why 
the South China Sea dispute remains one of the region’s most pressing 
issuesWhy the South China Sea dispute remains one of the region’s most 
pressing issuesThe remarks come at a time when China is delving into deep-sea exploration 
to make use of marine resources, such as offshore wind power, to enhance 
its energy supply as well as the economies of its coast.According to the 2023 China Ocean Economic Development Index, released on 
Saturday by the National Marine Data and Information Service, China’s 2022 
gross marine product – a calculation of the economic value provided by the 
ocean – increased by 1.9 per cent year on year to 9.5 trillion yuan (US$1.3 
trillion), with the value added per hectare by marine industries growing 
3.1 per cent in nominal terms from the year before.Emerging marine industries, including advanced manufacturing, services and 
coastal tourism, grew more than 7.9 per cent year on year, while offshore 
wind power generation more than doubled.Local governments in Shenzhen, as well as Liaoning and Shandong provinces, 
are racing to incentivise marine industry growth as part of China’s efforts 
to expand its blue economy.Zhang Chunyu, a researcher at the Chinese Academy of Social Sciences, said 
he believes that Shenzhen, a southern port city already well-known as 
China’s tech hub, would be an optimal choice.The city is now building Shenzhen Maritime University as part of its plan 
to become a maritime industry centre, and last year the local government 
announced a policy fund of up to 10 billion yuan to support the shipping 
industry.According to official data, Shenzhen’s citywide marine gross domestic 
product (GDP) reached 300 billion yuan in 2022, up 3.9 per cent year on 
year and accounting for 9.7 per cent of total GDP.Klaus Zenkel, vice-president of the European Union Chamber of Commerce in 
China and chair of its south China chapter, said at the forum the 
development of the maritime economy, like many other sectors, is marred by 
a lack of confidence.“Unpredictability is not good,” he said. “So make sure people come here, 
they can plan ahead for a decade, for example, and don’t have to be 
interrupted by a new law like the cybersecurity law and anti-spy law.” 
{"@context":"https://schema.org","@type":"VideoObject","contentUrl":"https://www.youtube.com/embed/0MvqJEdZkDQ?wmode=transparent&amp;jqoemcache=UdCOW&amp;enablejsapi=1&amp;playsinline=1","description":"Beijing 
and Manila trade blame over ‘provocative’ moves with ship collisions near 
disputed 
shoal","duration":"PT2M3S","embedUrl":"https://www.scmp.com/economy/china-economy/article/3242984/south-china-sea-openness-encouraged-shore-marine-economy-after-disputes-threaten-capsize-relations","name":"Beijing 
and Manila trade blame over ‘provocative’ moves with ship collisions near 
disputed 
shoal","thumbnailUrl":["https://cdn.i-scmp.com/sites/default/files/d8/video/thumbnail/2023/10/23/clean-thumb.jpg","https://cdn.i-scmp.com/sites/default/files/styles/wide_landscape/public/d8/video/thumbnail/2023/10/23/clean-thumb.jpg?itok=H3XNHuAV","https://cdn.i-scmp.com/sites/default/files/styles/768x768/public/d8/video/thumbnail/2023/10/23/clean-thumb.jpg?itok=MIE2qoXd"],"uploadDate":"2023-11-28T00:00:21.000Z"}{"@context":"https://schema.org","@type":"ImageObject","url":"https://cdn.i-scmp.com/sites/default/files/styles/wide_landscape/public/d8/video/thumbnail/2023/10/23/clean-thumb.jpg?itok=H3XNHuAV"}02:03Beijing 
and Manila trade blame over ‘provocative’ moves with ship collisions near 
disputed shoalBeijing and Manila trade blame over ‘provocative’ moves with 
ship collisions near disputed shoalHe emphasised the need for China to proactively take action to gain 
traction in the sector.“If China wants to be a leader in this marine economy, I think they need to 
take responsibility,” he said. “They need to start a dialogue with all the 
countries on a working level, not on a political level.”</v>
      </c>
      <c r="I32" s="4"/>
    </row>
    <row r="33" spans="1:9" ht="15.75" customHeight="1">
      <c r="A33" s="3">
        <v>35</v>
      </c>
      <c r="B33" s="3" t="s">
        <v>117</v>
      </c>
      <c r="C33" s="3" t="s">
        <v>118</v>
      </c>
      <c r="D33" s="6" t="s">
        <v>119</v>
      </c>
      <c r="E33" s="5" t="s">
        <v>54</v>
      </c>
      <c r="F33" s="8" t="str">
        <f t="shared" si="0"/>
        <v>https://webcache.googleusercontent.com/search?q=cache:https://www.scmp.com/news/china/diplomacy/article/3234580/asean-will-engage-both-china-and-us-secretary-general-kao-kim-hourn-says-call-dial-down-major-power</v>
      </c>
      <c r="G33" s="3" t="str">
        <f ca="1">IFERROR(__xludf.DUMMYFUNCTION("IMPORTXML(F33,""/html/body/div[2]/div/div[1]/div/div/article/div/div/div/div[15]"")"),"Asean will engage with both the US and China for regional cooperation, 
secretary general Kao Kim Hourn said, while calling for an easing of 
tensions between the two rival powers.Delivering a special lecture at the University of Hong Kong (HKU) on 
Thurs"&amp;"day, Kao said the Association of Southeast Asian Nations should focus 
on peace and cooperation, and be open and inclusive in handling ties with 
both Beijing and Washington.“We do not want any major power to dominate us. We choose to engage, not 
isolate"&amp;" … that is why we have comprehensive strategic partnerships with the 
US and China,” Kao said in a response to an audience question on whether 
Asean could foster closer ties with China without compromising its 
relations with the US.")</f>
        <v>Asean will engage with both the US and China for regional cooperation, 
secretary general Kao Kim Hourn said, while calling for an easing of 
tensions between the two rival powers.Delivering a special lecture at the University of Hong Kong (HKU) on 
Thursday, Kao said the Association of Southeast Asian Nations should focus 
on peace and cooperation, and be open and inclusive in handling ties with 
both Beijing and Washington.“We do not want any major power to dominate us. We choose to engage, not 
isolate … that is why we have comprehensive strategic partnerships with the 
US and China,” Kao said in a response to an audience question on whether 
Asean could foster closer ties with China without compromising its 
relations with the US.</v>
      </c>
      <c r="H33" s="4" t="str">
        <f ca="1">IFERROR(__xludf.DUMMYFUNCTION("""COMPUTED_VALUE"""),"He also said the 10-member bloc should not let territorial disputes in the 
South China Sea cast a shadow over its long-prosperous overall cooperation 
with China. 
{""@context"":""https://schema.org"",""@type"":""VideoObject"",""contentUrl"":""https://ww"&amp;"w.youtube.com/embed/xY-UK5x7Y-o?wmode=transparent&amp;jqoemcache=UdCOW&amp;enablejsapi=1&amp;playsinline=1"",""description"":""Beijing 
faces backlash from neighbours over expanded territorial claims in new 
official 
map"",""duration"":""PT3M6S"",""embedUrl"":""http"&amp;"s://www.scmp.com/news/china/diplomacy/article/3234580/asean-will-engage-both-china-and-us-secretary-general-kao-kim-hourn-says-call-dial-down-major-power"",""name"":""Beijing 
faces backlash from neighbours over expanded territorial claims in new 
officia"&amp;"l 
map"",""thumbnailUrl"":[""https://cdn.i-scmp.com/sites/default/files/d8/video/thumbnail/2023/09/07/clean-thumb_0.jpg"",""https://cdn.i-scmp.com/sites/default/files/styles/wide_landscape/public/d8/video/thumbnail/2023/09/07/clean-thumb_0.jpg?itok=zQgWqG"&amp;"Yf"",""https://cdn.i-scmp.com/sites/default/files/styles/768x768/public/d8/video/thumbnail/2023/09/07/clean-thumb_0.jpg?itok=e9ecgWL8""],""uploadDate"":""2023-09-14T13:14:32.000Z""}{""@context"":""https://schema.org"",""@type"":""ImageObject"",""url"":""h"&amp;"ttps://cdn.i-scmp.com/sites/default/files/styles/wide_landscape/public/d8/video/thumbnail/2023/09/07/clean-thumb_0.jpg?itok=zQgWqGYf""}03:06Beijing 
faces backlash from neighbours over expanded territorial claims in new 
official mapBeijing faces backlash"&amp;" from neighbours over expanded 
territorial claims in new official mapSeveral consuls general of Asean member states in Hong Kong – including 
Singapore, the Philippines, Malaysia, Brunei, Myanmar and Cambodia – were 
present at Thursday’s forum, which wa"&amp;"s hosted by HKU’s Research Hub on 
Institutions of China and also attended by students and researchers.Kao, a former Cambodian minister, later wrapped up his three-day working 
visit to Hong Kong with a lunch meeting with local trade and industry 
officia"&amp;"ls. He will next be leading his to the China-Asean Expo starting in 
southern Guangxi region on Friday.His trip came days after the 43rd annual Asean summit – hosted by rotating 
chair Indonesia – was overshadowed by the latest tensions in the South 
Chin"&amp;"a Sea between rival claimants China and the Philippines.Beijing stakes historical claim to nearly the whole of the busy, 
resource-rich waterway where three other Asean members – Malaysia, Vietnam 
and Brunei – also have competing claims.Closer US ties ha"&amp;"ve also been a source of friction with China, as 
Washington – a key security partner for several Asean members – has ramped 
up defence cooperation in the region in recent years to counter Beijing’s 
military ambitions.On September 4, a day before the As"&amp;"ean summit opened in Jakarta, the US 
military hosted a joint patrol with the Philippines in the South China Sea 
for the first time, triggering strong condemnation from Beijing.“We should not magnify one particular issue to overshadow anything else,” 
Ka"&amp;"o told the HKU forum, highlighting the years of fruitful Asean-China 
cooperation.“Every partner has its own uniqueness, has its own dynamics, has its own 
priorities. I think for us moving forward is how we are a team to expand, 
leverage, and build on w"&amp;"hat we have achieved,” he said as part of his 
lecture titled “Shared Future – Towards a Closer Asean-China Community”.China has been Asean’s biggest trade partner for the past 14 years, while 
the region is Beijing’s top investment destination.Kao said t"&amp;"he bloc welcomes any economic frameworks that will bring great 
prosperity to the region and its people, including China’s Belt and Road 
Initiative.Last week, test runs began on the Jakarta-Bandung railway, Southeast Asia’s 
fastest rail link and a US$7."&amp;"3 billion flagship belt and road project in 
the region.He also spoke highly of Hong Kong’s role in serving as a bridge between 
China and the bloc, encouraging the city not to “overlook” economic 
opportunities in the bloc.His words echoed a keynote spee"&amp;"ch delivered at the 8th Belt and Road 
Initiative Summit on Wednesday, where he highlighted the value of Hong 
Kong’s role in linking China with Asean, and urged greater synergy between 
the belt and road and Asean and Indo-Pacific connectivity plans, to "&amp;"create 
a more resilient and interconnected region.“Prosperity is really the very top priority for us,” he said at HKU. “It’s 
important for Asean to work together with our partners in China, including 
Hong Kong, to ensure that we continue to build confi"&amp;"dence, with strategic 
trust across the different stakeholders in this region.”")</f>
        <v>He also said the 10-member bloc should not let territorial disputes in the 
South China Sea cast a shadow over its long-prosperous overall cooperation 
with China. 
{"@context":"https://schema.org","@type":"VideoObject","contentUrl":"https://www.youtube.com/embed/xY-UK5x7Y-o?wmode=transparent&amp;jqoemcache=UdCOW&amp;enablejsapi=1&amp;playsinline=1","description":"Beijing 
faces backlash from neighbours over expanded territorial claims in new 
official 
map","duration":"PT3M6S","embedUrl":"https://www.scmp.com/news/china/diplomacy/article/3234580/asean-will-engage-both-china-and-us-secretary-general-kao-kim-hourn-says-call-dial-down-major-power","name":"Beijing 
faces backlash from neighbours over expanded territorial claims in new 
official 
map","thumbnailUrl":["https://cdn.i-scmp.com/sites/default/files/d8/video/thumbnail/2023/09/07/clean-thumb_0.jpg","https://cdn.i-scmp.com/sites/default/files/styles/wide_landscape/public/d8/video/thumbnail/2023/09/07/clean-thumb_0.jpg?itok=zQgWqGYf","https://cdn.i-scmp.com/sites/default/files/styles/768x768/public/d8/video/thumbnail/2023/09/07/clean-thumb_0.jpg?itok=e9ecgWL8"],"uploadDate":"2023-09-14T13:14:32.000Z"}{"@context":"https://schema.org","@type":"ImageObject","url":"https://cdn.i-scmp.com/sites/default/files/styles/wide_landscape/public/d8/video/thumbnail/2023/09/07/clean-thumb_0.jpg?itok=zQgWqGYf"}03:06Beijing 
faces backlash from neighbours over expanded territorial claims in new 
official mapBeijing faces backlash from neighbours over expanded 
territorial claims in new official mapSeveral consuls general of Asean member states in Hong Kong – including 
Singapore, the Philippines, Malaysia, Brunei, Myanmar and Cambodia – were 
present at Thursday’s forum, which was hosted by HKU’s Research Hub on 
Institutions of China and also attended by students and researchers.Kao, a former Cambodian minister, later wrapped up his three-day working 
visit to Hong Kong with a lunch meeting with local trade and industry 
officials. He will next be leading his to the China-Asean Expo starting in 
southern Guangxi region on Friday.His trip came days after the 43rd annual Asean summit – hosted by rotating 
chair Indonesia – was overshadowed by the latest tensions in the South 
China Sea between rival claimants China and the Philippines.Beijing stakes historical claim to nearly the whole of the busy, 
resource-rich waterway where three other Asean members – Malaysia, Vietnam 
and Brunei – also have competing claims.Closer US ties have also been a source of friction with China, as 
Washington – a key security partner for several Asean members – has ramped 
up defence cooperation in the region in recent years to counter Beijing’s 
military ambitions.On September 4, a day before the Asean summit opened in Jakarta, the US 
military hosted a joint patrol with the Philippines in the South China Sea 
for the first time, triggering strong condemnation from Beijing.“We should not magnify one particular issue to overshadow anything else,” 
Kao told the HKU forum, highlighting the years of fruitful Asean-China 
cooperation.“Every partner has its own uniqueness, has its own dynamics, has its own 
priorities. I think for us moving forward is how we are a team to expand, 
leverage, and build on what we have achieved,” he said as part of his 
lecture titled “Shared Future – Towards a Closer Asean-China Community”.China has been Asean’s biggest trade partner for the past 14 years, while 
the region is Beijing’s top investment destination.Kao said the bloc welcomes any economic frameworks that will bring great 
prosperity to the region and its people, including China’s Belt and Road 
Initiative.Last week, test runs began on the Jakarta-Bandung railway, Southeast Asia’s 
fastest rail link and a US$7.3 billion flagship belt and road project in 
the region.He also spoke highly of Hong Kong’s role in serving as a bridge between 
China and the bloc, encouraging the city not to “overlook” economic 
opportunities in the bloc.His words echoed a keynote speech delivered at the 8th Belt and Road 
Initiative Summit on Wednesday, where he highlighted the value of Hong 
Kong’s role in linking China with Asean, and urged greater synergy between 
the belt and road and Asean and Indo-Pacific connectivity plans, to create 
a more resilient and interconnected region.“Prosperity is really the very top priority for us,” he said at HKU. “It’s 
important for Asean to work together with our partners in China, including 
Hong Kong, to ensure that we continue to build confidence, with strategic 
trust across the different stakeholders in this region.”</v>
      </c>
      <c r="I33" s="4"/>
    </row>
    <row r="34" spans="1:9" ht="15.75" customHeight="1">
      <c r="A34" s="3">
        <v>36</v>
      </c>
      <c r="B34" s="3" t="s">
        <v>120</v>
      </c>
      <c r="C34" s="3" t="s">
        <v>121</v>
      </c>
      <c r="D34" s="6" t="s">
        <v>122</v>
      </c>
      <c r="E34" s="7" t="s">
        <v>123</v>
      </c>
      <c r="F34" s="8" t="str">
        <f t="shared" si="0"/>
        <v>https://webcache.googleusercontent.com/search?q=cache:https://www.scmp.com/week-asia/politics/article/3243891/japans-bid-elevate-asean-ties-will-offer-region-options-amid-growing-chinese-influence</v>
      </c>
      <c r="G34" s="3" t="str">
        <f ca="1">IFERROR(__xludf.DUMMYFUNCTION("IMPORTXML(F34,""/html/body/div[2]/div/div[1]/div/div/article/div/div/div/div[15]"")"),"#N/A")</f>
        <v>#N/A</v>
      </c>
    </row>
    <row r="35" spans="1:9" ht="15.75" customHeight="1">
      <c r="A35" s="3">
        <v>37</v>
      </c>
      <c r="B35" s="3" t="s">
        <v>124</v>
      </c>
      <c r="C35" s="3" t="s">
        <v>125</v>
      </c>
      <c r="D35" s="6" t="s">
        <v>126</v>
      </c>
      <c r="E35" s="7" t="s">
        <v>127</v>
      </c>
      <c r="F35" s="8" t="str">
        <f t="shared" si="0"/>
        <v>https://webcache.googleusercontent.com/search?q=cache:https://www.scmp.com/news/china/diplomacy/article/3233624/chinas-li-qiang-urges-asean-japan-and-south-korea-oppose-new-cold-war-amid-growing-us-rivalry</v>
      </c>
      <c r="G35" s="3" t="str">
        <f ca="1">IFERROR(__xludf.DUMMYFUNCTION("IMPORTXML(F35,""/html/body/div[2]/div/div[1]/div/div/article/div/div/div/div[15]"")"),"Chinese Premier Li Qiang has called on Japan, South Korea and Asean to 
support Hong Kong’s bid to join the world’s largest free-trade pact.Speaking in Jakarta on Wednesday, Li said Asean, China, Japan and South 
Korea should promote regional economic int"&amp;"egration together.“I hope all parties will support Hong Kong to become one of the new members 
of the Regional Comprehensive Economic Partnership,” Li said, citing 
Beijing’s drive to expand trade and mobility within the Asia-Pacific.")</f>
        <v>Chinese Premier Li Qiang has called on Japan, South Korea and Asean to 
support Hong Kong’s bid to join the world’s largest free-trade pact.Speaking in Jakarta on Wednesday, Li said Asean, China, Japan and South 
Korea should promote regional economic integration together.“I hope all parties will support Hong Kong to become one of the new members 
of the Regional Comprehensive Economic Partnership,” Li said, citing 
Beijing’s drive to expand trade and mobility within the Asia-Pacific.</v>
      </c>
      <c r="H35" s="4" t="str">
        <f ca="1">IFERROR(__xludf.DUMMYFUNCTION("""COMPUTED_VALUE"""),"The 15-member RCEP deal currently consists of the 10 Asean nations plus 
China, Japan, South Korea, Australia and New Zealand – all major trading 
partners of Hong Kong.Hong Kong formally requested to join in January last year, when the 
free-trade pact t"&amp;"ook effect for the inaugural 10 economies.In the face of heightened tensions with neighbours, the Chinese leader also 
urged Tokyo, Seoul and Asean to “oppose a new cold war” and manage their 
differences with Beijing.Li said disagreements and disputes be"&amp;"tween nations sometimes stemmed from 
misconceptions or perceived conflicts of interest, while at other times 
they stemmed from “some undue external interference” – in possibly a veiled 
dig at the United States.His comments came during a meeting between"&amp;" leaders of the Association of 
Southeast Asian Nations member states as well as China, Japan and South 
Korea.“The key is for all of us to face up to problems, eliminate 
misunderstandings and manage our differences,” Li told the Asean Plus Three 
summit"&amp;".“It’s very important at present to oppose taking sides, bloc confrontations 
and a new cold war,” he said.Some politicians and pundits have characterised the escalating competition 
between Washington and Beijing as another cold war, but opinion is divid"&amp;"ed 
among observers on whether this is an accurate framing for the bilateral 
relationship.Many countries, including those in Asia, have found themselves caught in 
the middle as rivalry intensifies between the two powers. 
{""@context"":""https://schema."&amp;"org"",""@type"":""VideoObject"",""contentUrl"":""https://www.youtube.com/embed/dpNpBCH4ARk?wmode=transparent&amp;jqoemcache=UdCOW&amp;enablejsapi=1&amp;playsinline=1"",""description"":""India 
lodges formal protest with China over new map that lays claim to disputed "&amp;"
territory"",""duration"":""PT1M26S"",""embedUrl"":""https://www.scmp.com/news/china/diplomacy/article/3233624/chinas-li-qiang-urges-asean-japan-and-south-korea-oppose-new-cold-war-amid-growing-us-rivalry"",""name"":""India 
lodges formal protest with Chi"&amp;"na over new map that lays claim to disputed 
territory"",""thumbnailUrl"":[""https://cdn.i-scmp.com/sites/default/files/d8/video/thumbnail/2023/08/31/clena-thumb.jpg"",""https://cdn.i-scmp.com/sites/default/files/styles/wide_landscape/public/d8/video/thum"&amp;"bnail/2023/08/31/clena-thumb.jpg?itok=y1nnmoJf"",""https://cdn.i-scmp.com/sites/default/files/styles/768x768/public/d8/video/thumbnail/2023/08/31/clena-thumb.jpg?itok=PdN3zq74""],""uploadDate"":""2023-09-06T11:05:35.000Z""}{""@context"":""https://schema.o"&amp;"rg"",""@type"":""ImageObject"",""url"":""https://cdn.i-scmp.com/sites/default/files/styles/wide_landscape/public/d8/video/thumbnail/2023/08/31/clena-thumb.jpg?itok=y1nnmoJf""}01:26India 
lodges formal protest with China over new map that lays claim to dis"&amp;"puted 
territoryIndia lodges formal protest with China over new map that lays 
claim to disputed territoryChina and Japan, South Korea and Asean countries shared a common home, Li 
said.“If there is peace and prosperity, we all benefit, while if there are"&amp;" 
upheavals and chaos, we all suffer.”Li, China’s No 2 official, said the country was on track to achieve its 
annual economic growth target of around 5 per cent for 2023, noting that 
would create more opportunities for other economies in the region and "&amp;"the 
world.China sparked outrage last week among its Asean neighbours, including 
Indonesia, Malaysia and the Philippines, by issuing a new map asserting its 
claims over nearly the entire South China Sea.The “standard map” posted on the website of China’"&amp;"s Ministry of Natural 
Resources showed a U-shaped “10-dash line” aligning with China’s long-held 
claims over the South China Sea, a vital maritime corridor that enables 
trillions of dollars in global trade annually.Beijing’s ties with Tokyo and Seoul a"&amp;"re at a low ebb as China grows 
increasingly frustrated with its neighbours’ tilt towards the US.In a separate meeting between China and Asean on Wednesday, Li said Beijing 
and the 10-member bloc had built “firmer” political mutual trust over the 
past d"&amp;"ecade, deepened their cooperation in security and taken “more 
practical” actions to maintain regional stability.“As long as we continue to adhere to the right path, no matter what storms 
we go through in the future, the cooperation between China and Ase"&amp;"an will 
be unbreakable, stable and far-reaching,” he said.He said China was moving faster than expected to meet its goal of importing 
US$150 billion worth of agricultural products from Asean countries in the 
five-year period ending in 2026, with more t"&amp;"han US$55 billion bought so far.China’s exports to Asean – its largest trading partner – declined 2 per 
cent from a year ago in the first seven months of the year in dollar terms 
while imports dropped by 6.3 per cent, according to Chinese customs data.")</f>
        <v>The 15-member RCEP deal currently consists of the 10 Asean nations plus 
China, Japan, South Korea, Australia and New Zealand – all major trading 
partners of Hong Kong.Hong Kong formally requested to join in January last year, when the 
free-trade pact took effect for the inaugural 10 economies.In the face of heightened tensions with neighbours, the Chinese leader also 
urged Tokyo, Seoul and Asean to “oppose a new cold war” and manage their 
differences with Beijing.Li said disagreements and disputes between nations sometimes stemmed from 
misconceptions or perceived conflicts of interest, while at other times 
they stemmed from “some undue external interference” – in possibly a veiled 
dig at the United States.His comments came during a meeting between leaders of the Association of 
Southeast Asian Nations member states as well as China, Japan and South 
Korea.“The key is for all of us to face up to problems, eliminate 
misunderstandings and manage our differences,” Li told the Asean Plus Three 
summit.“It’s very important at present to oppose taking sides, bloc confrontations 
and a new cold war,” he said.Some politicians and pundits have characterised the escalating competition 
between Washington and Beijing as another cold war, but opinion is divided 
among observers on whether this is an accurate framing for the bilateral 
relationship.Many countries, including those in Asia, have found themselves caught in 
the middle as rivalry intensifies between the two powers. 
{"@context":"https://schema.org","@type":"VideoObject","contentUrl":"https://www.youtube.com/embed/dpNpBCH4ARk?wmode=transparent&amp;jqoemcache=UdCOW&amp;enablejsapi=1&amp;playsinline=1","description":"India 
lodges formal protest with China over new map that lays claim to disputed 
territory","duration":"PT1M26S","embedUrl":"https://www.scmp.com/news/china/diplomacy/article/3233624/chinas-li-qiang-urges-asean-japan-and-south-korea-oppose-new-cold-war-amid-growing-us-rivalry","name":"India 
lodges formal protest with China over new map that lays claim to disputed 
territory","thumbnailUrl":["https://cdn.i-scmp.com/sites/default/files/d8/video/thumbnail/2023/08/31/clena-thumb.jpg","https://cdn.i-scmp.com/sites/default/files/styles/wide_landscape/public/d8/video/thumbnail/2023/08/31/clena-thumb.jpg?itok=y1nnmoJf","https://cdn.i-scmp.com/sites/default/files/styles/768x768/public/d8/video/thumbnail/2023/08/31/clena-thumb.jpg?itok=PdN3zq74"],"uploadDate":"2023-09-06T11:05:35.000Z"}{"@context":"https://schema.org","@type":"ImageObject","url":"https://cdn.i-scmp.com/sites/default/files/styles/wide_landscape/public/d8/video/thumbnail/2023/08/31/clena-thumb.jpg?itok=y1nnmoJf"}01:26India 
lodges formal protest with China over new map that lays claim to disputed 
territoryIndia lodges formal protest with China over new map that lays 
claim to disputed territoryChina and Japan, South Korea and Asean countries shared a common home, Li 
said.“If there is peace and prosperity, we all benefit, while if there are 
upheavals and chaos, we all suffer.”Li, China’s No 2 official, said the country was on track to achieve its 
annual economic growth target of around 5 per cent for 2023, noting that 
would create more opportunities for other economies in the region and the 
world.China sparked outrage last week among its Asean neighbours, including 
Indonesia, Malaysia and the Philippines, by issuing a new map asserting its 
claims over nearly the entire South China Sea.The “standard map” posted on the website of China’s Ministry of Natural 
Resources showed a U-shaped “10-dash line” aligning with China’s long-held 
claims over the South China Sea, a vital maritime corridor that enables 
trillions of dollars in global trade annually.Beijing’s ties with Tokyo and Seoul are at a low ebb as China grows 
increasingly frustrated with its neighbours’ tilt towards the US.In a separate meeting between China and Asean on Wednesday, Li said Beijing 
and the 10-member bloc had built “firmer” political mutual trust over the 
past decade, deepened their cooperation in security and taken “more 
practical” actions to maintain regional stability.“As long as we continue to adhere to the right path, no matter what storms 
we go through in the future, the cooperation between China and Asean will 
be unbreakable, stable and far-reaching,” he said.He said China was moving faster than expected to meet its goal of importing 
US$150 billion worth of agricultural products from Asean countries in the 
five-year period ending in 2026, with more than US$55 billion bought so far.China’s exports to Asean – its largest trading partner – declined 2 per 
cent from a year ago in the first seven months of the year in dollar terms 
while imports dropped by 6.3 per cent, according to Chinese customs data.</v>
      </c>
      <c r="I35" s="4"/>
    </row>
    <row r="36" spans="1:9" ht="15.75" customHeight="1">
      <c r="A36" s="3">
        <v>38</v>
      </c>
      <c r="B36" s="3" t="s">
        <v>128</v>
      </c>
      <c r="C36" s="3" t="s">
        <v>129</v>
      </c>
      <c r="D36" s="6" t="s">
        <v>130</v>
      </c>
      <c r="E36" s="5" t="s">
        <v>74</v>
      </c>
      <c r="F36" s="8" t="str">
        <f t="shared" si="0"/>
        <v>https://webcache.googleusercontent.com/search?q=cache:https://www.scmp.com/week-asia/politics/article/3224917/will-cambodias-concerns-rocking-china-boat-affect-asean-unity-over-naval-drills</v>
      </c>
      <c r="G36" s="3" t="str">
        <f ca="1">IFERROR(__xludf.DUMMYFUNCTION("IMPORTXML(F36,""/html/body/div[2]/div/div[1]/div/div/article/div/div/div/div[15]"")"),"As Cambodia threatens Southeast Asian unity by remaining indecisive about 
taking part in the first-ever region-wide joint naval exercise, analysts 
said the drills should still go ahead even without the participation of one 
or more countries.Indonesian "&amp;"military chief Yudo Margono said after a recent meeting between 
Asean defence chiefs in Bali that the 10-member regional body would hold 
its first joint military drills in the South China Sea.The exercises will focus on maritime security and rescue oper"&amp;"ations, and 
will not involve combat operations.")</f>
        <v>As Cambodia threatens Southeast Asian unity by remaining indecisive about 
taking part in the first-ever region-wide joint naval exercise, analysts 
said the drills should still go ahead even without the participation of one 
or more countries.Indonesian military chief Yudo Margono said after a recent meeting between 
Asean defence chiefs in Bali that the 10-member regional body would hold 
its first joint military drills in the South China Sea.The exercises will focus on maritime security and rescue operations, and 
will not involve combat operations.</v>
      </c>
      <c r="H36" s="4" t="s">
        <v>574</v>
      </c>
      <c r="I36" s="4"/>
    </row>
    <row r="37" spans="1:9" ht="15.75" customHeight="1">
      <c r="E37" s="2"/>
    </row>
    <row r="38" spans="1:9" ht="15.75" customHeight="1">
      <c r="E38" s="2"/>
    </row>
    <row r="39" spans="1:9" ht="15.75" customHeight="1">
      <c r="E39" s="2"/>
    </row>
    <row r="40" spans="1:9" ht="15.75" customHeight="1">
      <c r="E40" s="2"/>
    </row>
    <row r="41" spans="1:9" ht="15.75" customHeight="1">
      <c r="E41" s="2"/>
    </row>
    <row r="42" spans="1:9" ht="15.75" customHeight="1">
      <c r="E42" s="2"/>
    </row>
    <row r="43" spans="1:9" ht="15.75" customHeight="1">
      <c r="E43" s="2"/>
    </row>
    <row r="44" spans="1:9" ht="15.75" customHeight="1">
      <c r="E44" s="2"/>
    </row>
    <row r="45" spans="1:9" ht="15.75" customHeight="1">
      <c r="E45" s="2"/>
    </row>
    <row r="46" spans="1:9" ht="15.75" customHeight="1">
      <c r="E46" s="2"/>
    </row>
    <row r="47" spans="1:9" ht="15.75" customHeight="1">
      <c r="E47" s="2"/>
    </row>
    <row r="48" spans="1:9" ht="15.75" customHeight="1">
      <c r="E48" s="2"/>
    </row>
    <row r="49" spans="5:5" ht="15.75" customHeight="1">
      <c r="E49" s="2"/>
    </row>
    <row r="50" spans="5:5" ht="15.75" customHeight="1">
      <c r="E50" s="2"/>
    </row>
    <row r="51" spans="5:5" ht="15.75" customHeight="1">
      <c r="E51" s="2"/>
    </row>
    <row r="52" spans="5:5" ht="15.75" customHeight="1">
      <c r="E52" s="2"/>
    </row>
    <row r="53" spans="5:5" ht="15.75" customHeight="1">
      <c r="E53" s="2"/>
    </row>
    <row r="54" spans="5:5" ht="15.75" customHeight="1">
      <c r="E54" s="2"/>
    </row>
    <row r="55" spans="5:5" ht="15.75" customHeight="1">
      <c r="E55" s="2"/>
    </row>
    <row r="56" spans="5:5" ht="15.75" customHeight="1">
      <c r="E56" s="2"/>
    </row>
    <row r="57" spans="5:5" ht="15.75" customHeight="1">
      <c r="E57" s="2"/>
    </row>
    <row r="58" spans="5:5" ht="15.75" customHeight="1">
      <c r="E58" s="2"/>
    </row>
    <row r="59" spans="5:5" ht="15.75" customHeight="1">
      <c r="E59" s="2"/>
    </row>
    <row r="60" spans="5:5" ht="15.75" customHeight="1">
      <c r="E60" s="2"/>
    </row>
    <row r="61" spans="5:5" ht="15.75" customHeight="1">
      <c r="E61" s="2"/>
    </row>
    <row r="62" spans="5:5" ht="15.75" customHeight="1">
      <c r="E62" s="2"/>
    </row>
    <row r="63" spans="5:5" ht="15.75" customHeight="1">
      <c r="E63" s="2"/>
    </row>
    <row r="64" spans="5:5" ht="15.75" customHeight="1">
      <c r="E64" s="2"/>
    </row>
    <row r="65" spans="5:5" ht="15.75" customHeight="1">
      <c r="E65" s="2"/>
    </row>
    <row r="66" spans="5:5" ht="15.75" customHeight="1">
      <c r="E66" s="2"/>
    </row>
    <row r="67" spans="5:5" ht="15.75" customHeight="1">
      <c r="E67" s="2"/>
    </row>
    <row r="68" spans="5:5" ht="15.75" customHeight="1">
      <c r="E68" s="2"/>
    </row>
    <row r="69" spans="5:5" ht="15.75" customHeight="1">
      <c r="E69" s="2"/>
    </row>
    <row r="70" spans="5:5" ht="15.75" customHeight="1">
      <c r="E70" s="2"/>
    </row>
    <row r="71" spans="5:5" ht="15.75" customHeight="1">
      <c r="E71" s="2"/>
    </row>
    <row r="72" spans="5:5" ht="15.75" customHeight="1">
      <c r="E72" s="2"/>
    </row>
    <row r="73" spans="5:5" ht="15.75" customHeight="1">
      <c r="E73" s="2"/>
    </row>
    <row r="74" spans="5:5" ht="15.75" customHeight="1">
      <c r="E74" s="2"/>
    </row>
    <row r="75" spans="5:5" ht="15.75" customHeight="1">
      <c r="E75" s="2"/>
    </row>
    <row r="76" spans="5:5" ht="15.75" customHeight="1">
      <c r="E76" s="2"/>
    </row>
    <row r="77" spans="5:5" ht="15.75" customHeight="1">
      <c r="E77" s="2"/>
    </row>
    <row r="78" spans="5:5" ht="15.75" customHeight="1">
      <c r="E78" s="2"/>
    </row>
    <row r="79" spans="5:5" ht="15.75" customHeight="1">
      <c r="E79" s="2"/>
    </row>
    <row r="80" spans="5:5" ht="15.75" customHeight="1">
      <c r="E80" s="2"/>
    </row>
    <row r="81" spans="5:5" ht="15.75" customHeight="1">
      <c r="E81" s="2"/>
    </row>
    <row r="82" spans="5:5" ht="15.75" customHeight="1">
      <c r="E82" s="2"/>
    </row>
    <row r="83" spans="5:5" ht="15.75" customHeight="1">
      <c r="E83" s="2"/>
    </row>
    <row r="84" spans="5:5" ht="15.75" customHeight="1">
      <c r="E84" s="2"/>
    </row>
    <row r="85" spans="5:5" ht="15.75" customHeight="1">
      <c r="E85" s="2"/>
    </row>
    <row r="86" spans="5:5" ht="15.75" customHeight="1">
      <c r="E86" s="2"/>
    </row>
    <row r="87" spans="5:5" ht="15.75" customHeight="1">
      <c r="E87" s="2"/>
    </row>
    <row r="88" spans="5:5" ht="15.75" customHeight="1">
      <c r="E88" s="2"/>
    </row>
    <row r="89" spans="5:5" ht="15.75" customHeight="1">
      <c r="E89" s="2"/>
    </row>
    <row r="90" spans="5:5" ht="15.75" customHeight="1">
      <c r="E90" s="2"/>
    </row>
    <row r="91" spans="5:5" ht="15.75" customHeight="1">
      <c r="E91" s="2"/>
    </row>
    <row r="92" spans="5:5" ht="15.75" customHeight="1">
      <c r="E92" s="2"/>
    </row>
    <row r="93" spans="5:5" ht="15.75" customHeight="1">
      <c r="E93" s="2"/>
    </row>
    <row r="94" spans="5:5" ht="15.75" customHeight="1">
      <c r="E94" s="2"/>
    </row>
    <row r="95" spans="5:5" ht="15.75" customHeight="1">
      <c r="E95" s="2"/>
    </row>
    <row r="96" spans="5:5" ht="15.75" customHeight="1">
      <c r="E96" s="2"/>
    </row>
    <row r="97" spans="5:5" ht="15.75" customHeight="1">
      <c r="E97" s="2"/>
    </row>
    <row r="98" spans="5:5" ht="15.75" customHeight="1">
      <c r="E98" s="2"/>
    </row>
    <row r="99" spans="5:5" ht="15.75" customHeight="1">
      <c r="E99" s="2"/>
    </row>
    <row r="100" spans="5:5" ht="15.75" customHeight="1">
      <c r="E100" s="2"/>
    </row>
    <row r="101" spans="5:5" ht="15.75" customHeight="1">
      <c r="E101" s="2"/>
    </row>
    <row r="102" spans="5:5" ht="15.75" customHeight="1">
      <c r="E102" s="2"/>
    </row>
    <row r="103" spans="5:5" ht="15.75" customHeight="1">
      <c r="E103" s="2"/>
    </row>
    <row r="104" spans="5:5" ht="15.75" customHeight="1">
      <c r="E104" s="2"/>
    </row>
    <row r="105" spans="5:5" ht="15.75" customHeight="1">
      <c r="E105" s="2"/>
    </row>
    <row r="106" spans="5:5" ht="15.75" customHeight="1">
      <c r="E106" s="2"/>
    </row>
    <row r="107" spans="5:5" ht="15.75" customHeight="1">
      <c r="E107" s="2"/>
    </row>
    <row r="108" spans="5:5" ht="15.75" customHeight="1">
      <c r="E108" s="2"/>
    </row>
    <row r="109" spans="5:5" ht="15.75" customHeight="1">
      <c r="E109" s="2"/>
    </row>
    <row r="110" spans="5:5" ht="15.75" customHeight="1">
      <c r="E110" s="2"/>
    </row>
    <row r="111" spans="5:5" ht="15.75" customHeight="1">
      <c r="E111" s="2"/>
    </row>
    <row r="112" spans="5:5" ht="15.75" customHeight="1">
      <c r="E112" s="2"/>
    </row>
    <row r="113" spans="5:5" ht="15.75" customHeight="1">
      <c r="E113" s="2"/>
    </row>
    <row r="114" spans="5:5" ht="15.75" customHeight="1">
      <c r="E114" s="2"/>
    </row>
    <row r="115" spans="5:5" ht="15.75" customHeight="1">
      <c r="E115" s="2"/>
    </row>
    <row r="116" spans="5:5" ht="15.75" customHeight="1">
      <c r="E116" s="2"/>
    </row>
    <row r="117" spans="5:5" ht="15.75" customHeight="1">
      <c r="E117" s="2"/>
    </row>
    <row r="118" spans="5:5" ht="15.75" customHeight="1">
      <c r="E118" s="2"/>
    </row>
    <row r="119" spans="5:5" ht="15.75" customHeight="1">
      <c r="E119" s="2"/>
    </row>
    <row r="120" spans="5:5" ht="15.75" customHeight="1">
      <c r="E120" s="2"/>
    </row>
    <row r="121" spans="5:5" ht="15.75" customHeight="1">
      <c r="E121" s="2"/>
    </row>
    <row r="122" spans="5:5" ht="15.75" customHeight="1">
      <c r="E122" s="2"/>
    </row>
    <row r="123" spans="5:5" ht="15.75" customHeight="1">
      <c r="E123" s="2"/>
    </row>
    <row r="124" spans="5:5" ht="15.75" customHeight="1">
      <c r="E124" s="2"/>
    </row>
    <row r="125" spans="5:5" ht="15.75" customHeight="1">
      <c r="E125" s="2"/>
    </row>
    <row r="126" spans="5:5" ht="15.75" customHeight="1">
      <c r="E126" s="2"/>
    </row>
    <row r="127" spans="5:5" ht="15.75" customHeight="1">
      <c r="E127" s="2"/>
    </row>
    <row r="128" spans="5:5" ht="15.75" customHeight="1">
      <c r="E128" s="2"/>
    </row>
    <row r="129" spans="5:5" ht="15.75" customHeight="1">
      <c r="E129" s="2"/>
    </row>
    <row r="130" spans="5:5" ht="15.75" customHeight="1">
      <c r="E130" s="2"/>
    </row>
    <row r="131" spans="5:5" ht="15.75" customHeight="1">
      <c r="E131" s="2"/>
    </row>
    <row r="132" spans="5:5" ht="15.75" customHeight="1">
      <c r="E132" s="2"/>
    </row>
    <row r="133" spans="5:5" ht="15.75" customHeight="1">
      <c r="E133" s="2"/>
    </row>
    <row r="134" spans="5:5" ht="15.75" customHeight="1">
      <c r="E134" s="2"/>
    </row>
    <row r="135" spans="5:5" ht="15.75" customHeight="1">
      <c r="E135" s="2"/>
    </row>
    <row r="136" spans="5:5" ht="15.75" customHeight="1">
      <c r="E136" s="2"/>
    </row>
    <row r="137" spans="5:5" ht="15.75" customHeight="1">
      <c r="E137" s="2"/>
    </row>
    <row r="138" spans="5:5" ht="15.75" customHeight="1">
      <c r="E138" s="2"/>
    </row>
    <row r="139" spans="5:5" ht="15.75" customHeight="1">
      <c r="E139" s="2"/>
    </row>
    <row r="140" spans="5:5" ht="15.75" customHeight="1">
      <c r="E140" s="2"/>
    </row>
    <row r="141" spans="5:5" ht="15.75" customHeight="1">
      <c r="E141" s="2"/>
    </row>
    <row r="142" spans="5:5" ht="15.75" customHeight="1">
      <c r="E142" s="2"/>
    </row>
    <row r="143" spans="5:5" ht="15.75" customHeight="1">
      <c r="E143" s="2"/>
    </row>
    <row r="144" spans="5:5" ht="15.75" customHeight="1">
      <c r="E144" s="2"/>
    </row>
    <row r="145" spans="5:5" ht="15.75" customHeight="1">
      <c r="E145" s="2"/>
    </row>
    <row r="146" spans="5:5" ht="15.75" customHeight="1">
      <c r="E146" s="2"/>
    </row>
    <row r="147" spans="5:5" ht="15.75" customHeight="1">
      <c r="E147" s="2"/>
    </row>
    <row r="148" spans="5:5" ht="15.75" customHeight="1">
      <c r="E148" s="2"/>
    </row>
    <row r="149" spans="5:5" ht="15.75" customHeight="1">
      <c r="E149" s="2"/>
    </row>
    <row r="150" spans="5:5" ht="15.75" customHeight="1">
      <c r="E150" s="2"/>
    </row>
    <row r="151" spans="5:5" ht="15.75" customHeight="1">
      <c r="E151" s="2"/>
    </row>
    <row r="152" spans="5:5" ht="15.75" customHeight="1">
      <c r="E152" s="2"/>
    </row>
    <row r="153" spans="5:5" ht="15.75" customHeight="1">
      <c r="E153" s="2"/>
    </row>
    <row r="154" spans="5:5" ht="15.75" customHeight="1">
      <c r="E154" s="2"/>
    </row>
    <row r="155" spans="5:5" ht="15.75" customHeight="1">
      <c r="E155" s="2"/>
    </row>
    <row r="156" spans="5:5" ht="15.75" customHeight="1">
      <c r="E156" s="2"/>
    </row>
    <row r="157" spans="5:5" ht="15.75" customHeight="1">
      <c r="E157" s="2"/>
    </row>
    <row r="158" spans="5:5" ht="15.75" customHeight="1">
      <c r="E158" s="2"/>
    </row>
    <row r="159" spans="5:5" ht="15.75" customHeight="1">
      <c r="E159" s="2"/>
    </row>
    <row r="160" spans="5:5" ht="15.75" customHeight="1">
      <c r="E160" s="2"/>
    </row>
    <row r="161" spans="5:5" ht="15.75" customHeight="1">
      <c r="E161" s="2"/>
    </row>
    <row r="162" spans="5:5" ht="15.75" customHeight="1">
      <c r="E162" s="2"/>
    </row>
    <row r="163" spans="5:5" ht="15.75" customHeight="1">
      <c r="E163" s="2"/>
    </row>
    <row r="164" spans="5:5" ht="15.75" customHeight="1">
      <c r="E164" s="2"/>
    </row>
    <row r="165" spans="5:5" ht="15.75" customHeight="1">
      <c r="E165" s="2"/>
    </row>
    <row r="166" spans="5:5" ht="15.75" customHeight="1">
      <c r="E166" s="2"/>
    </row>
    <row r="167" spans="5:5" ht="15.75" customHeight="1">
      <c r="E167" s="2"/>
    </row>
    <row r="168" spans="5:5" ht="15.75" customHeight="1">
      <c r="E168" s="2"/>
    </row>
    <row r="169" spans="5:5" ht="15.75" customHeight="1">
      <c r="E169" s="2"/>
    </row>
    <row r="170" spans="5:5" ht="15.75" customHeight="1">
      <c r="E170" s="2"/>
    </row>
    <row r="171" spans="5:5" ht="15.75" customHeight="1">
      <c r="E171" s="2"/>
    </row>
    <row r="172" spans="5:5" ht="15.75" customHeight="1">
      <c r="E172" s="2"/>
    </row>
    <row r="173" spans="5:5" ht="15.75" customHeight="1">
      <c r="E173" s="2"/>
    </row>
    <row r="174" spans="5:5" ht="15.75" customHeight="1">
      <c r="E174" s="2"/>
    </row>
    <row r="175" spans="5:5" ht="15.75" customHeight="1">
      <c r="E175" s="2"/>
    </row>
    <row r="176" spans="5:5" ht="15.75" customHeight="1">
      <c r="E176" s="2"/>
    </row>
    <row r="177" spans="5:5" ht="15.75" customHeight="1">
      <c r="E177" s="2"/>
    </row>
    <row r="178" spans="5:5" ht="15.75" customHeight="1">
      <c r="E178" s="2"/>
    </row>
    <row r="179" spans="5:5" ht="15.75" customHeight="1">
      <c r="E179" s="2"/>
    </row>
    <row r="180" spans="5:5" ht="15.75" customHeight="1">
      <c r="E180" s="2"/>
    </row>
    <row r="181" spans="5:5" ht="15.75" customHeight="1">
      <c r="E181" s="2"/>
    </row>
    <row r="182" spans="5:5" ht="15.75" customHeight="1">
      <c r="E182" s="2"/>
    </row>
    <row r="183" spans="5:5" ht="15.75" customHeight="1">
      <c r="E183" s="2"/>
    </row>
    <row r="184" spans="5:5" ht="15.75" customHeight="1">
      <c r="E184" s="2"/>
    </row>
    <row r="185" spans="5:5" ht="15.75" customHeight="1">
      <c r="E185" s="2"/>
    </row>
    <row r="186" spans="5:5" ht="15.75" customHeight="1">
      <c r="E186" s="2"/>
    </row>
    <row r="187" spans="5:5" ht="15.75" customHeight="1">
      <c r="E187" s="2"/>
    </row>
    <row r="188" spans="5:5" ht="15.75" customHeight="1">
      <c r="E188" s="2"/>
    </row>
    <row r="189" spans="5:5" ht="15.75" customHeight="1">
      <c r="E189" s="2"/>
    </row>
    <row r="190" spans="5:5" ht="15.75" customHeight="1">
      <c r="E190" s="2"/>
    </row>
    <row r="191" spans="5:5" ht="15.75" customHeight="1">
      <c r="E191" s="2"/>
    </row>
    <row r="192" spans="5:5" ht="15.75" customHeight="1">
      <c r="E192" s="2"/>
    </row>
    <row r="193" spans="5:5" ht="15.75" customHeight="1">
      <c r="E193" s="2"/>
    </row>
    <row r="194" spans="5:5" ht="15.75" customHeight="1">
      <c r="E194" s="2"/>
    </row>
    <row r="195" spans="5:5" ht="15.75" customHeight="1">
      <c r="E195" s="2"/>
    </row>
    <row r="196" spans="5:5" ht="15.75" customHeight="1">
      <c r="E196" s="2"/>
    </row>
    <row r="197" spans="5:5" ht="15.75" customHeight="1">
      <c r="E197" s="2"/>
    </row>
    <row r="198" spans="5:5" ht="15.75" customHeight="1">
      <c r="E198" s="2"/>
    </row>
    <row r="199" spans="5:5" ht="15.75" customHeight="1">
      <c r="E199" s="2"/>
    </row>
    <row r="200" spans="5:5" ht="15.75" customHeight="1">
      <c r="E200" s="2"/>
    </row>
    <row r="201" spans="5:5" ht="15.75" customHeight="1">
      <c r="E201" s="2"/>
    </row>
    <row r="202" spans="5:5" ht="15.75" customHeight="1">
      <c r="E202" s="2"/>
    </row>
    <row r="203" spans="5:5" ht="15.75" customHeight="1">
      <c r="E203" s="2"/>
    </row>
    <row r="204" spans="5:5" ht="15.75" customHeight="1">
      <c r="E204" s="2"/>
    </row>
    <row r="205" spans="5:5" ht="15.75" customHeight="1">
      <c r="E205" s="2"/>
    </row>
    <row r="206" spans="5:5" ht="15.75" customHeight="1">
      <c r="E206" s="2"/>
    </row>
    <row r="207" spans="5:5" ht="15.75" customHeight="1">
      <c r="E207" s="2"/>
    </row>
    <row r="208" spans="5:5" ht="15.75" customHeight="1">
      <c r="E208" s="2"/>
    </row>
    <row r="209" spans="5:5" ht="15.75" customHeight="1">
      <c r="E209" s="2"/>
    </row>
    <row r="210" spans="5:5" ht="15.75" customHeight="1">
      <c r="E210" s="2"/>
    </row>
    <row r="211" spans="5:5" ht="15.75" customHeight="1">
      <c r="E211" s="2"/>
    </row>
    <row r="212" spans="5:5" ht="15.75" customHeight="1">
      <c r="E212" s="2"/>
    </row>
    <row r="213" spans="5:5" ht="15.75" customHeight="1">
      <c r="E213" s="2"/>
    </row>
    <row r="214" spans="5:5" ht="15.75" customHeight="1">
      <c r="E214" s="2"/>
    </row>
    <row r="215" spans="5:5" ht="15.75" customHeight="1">
      <c r="E215" s="2"/>
    </row>
    <row r="216" spans="5:5" ht="15.75" customHeight="1">
      <c r="E216" s="2"/>
    </row>
    <row r="217" spans="5:5" ht="15.75" customHeight="1">
      <c r="E217" s="2"/>
    </row>
    <row r="218" spans="5:5" ht="15.75" customHeight="1">
      <c r="E218" s="2"/>
    </row>
    <row r="219" spans="5:5" ht="15.75" customHeight="1">
      <c r="E219" s="2"/>
    </row>
    <row r="220" spans="5:5" ht="15.75" customHeight="1">
      <c r="E220" s="2"/>
    </row>
    <row r="221" spans="5:5" ht="15.75" customHeight="1">
      <c r="E221" s="2"/>
    </row>
    <row r="222" spans="5:5" ht="15.75" customHeight="1">
      <c r="E222" s="2"/>
    </row>
    <row r="223" spans="5:5" ht="15.75" customHeight="1">
      <c r="E223" s="2"/>
    </row>
    <row r="224" spans="5:5" ht="15.75" customHeight="1">
      <c r="E224" s="2"/>
    </row>
    <row r="225" spans="5:5" ht="15.75" customHeight="1">
      <c r="E225" s="2"/>
    </row>
    <row r="226" spans="5:5" ht="15.75" customHeight="1">
      <c r="E226" s="2"/>
    </row>
    <row r="227" spans="5:5" ht="15.75" customHeight="1">
      <c r="E227" s="2"/>
    </row>
    <row r="228" spans="5:5" ht="15.75" customHeight="1">
      <c r="E228" s="2"/>
    </row>
    <row r="229" spans="5:5" ht="15.75" customHeight="1">
      <c r="E229" s="2"/>
    </row>
    <row r="230" spans="5:5" ht="15.75" customHeight="1">
      <c r="E230" s="2"/>
    </row>
    <row r="231" spans="5:5" ht="15.75" customHeight="1">
      <c r="E231" s="2"/>
    </row>
    <row r="232" spans="5:5" ht="15.75" customHeight="1">
      <c r="E232" s="2"/>
    </row>
    <row r="233" spans="5:5" ht="15.75" customHeight="1">
      <c r="E233" s="2"/>
    </row>
    <row r="234" spans="5:5" ht="15.75" customHeight="1">
      <c r="E234" s="2"/>
    </row>
    <row r="235" spans="5:5" ht="15.75" customHeight="1">
      <c r="E235" s="2"/>
    </row>
    <row r="236" spans="5:5" ht="15.75" customHeight="1">
      <c r="E236" s="2"/>
    </row>
    <row r="237" spans="5:5" ht="15.75" customHeight="1">
      <c r="E237" s="2"/>
    </row>
    <row r="238" spans="5:5" ht="15.75" customHeight="1">
      <c r="E238" s="2"/>
    </row>
    <row r="239" spans="5:5" ht="15.75" customHeight="1">
      <c r="E239" s="2"/>
    </row>
    <row r="240" spans="5:5" ht="15.75" customHeight="1">
      <c r="E240" s="2"/>
    </row>
    <row r="241" spans="5:5" ht="15.75" customHeight="1">
      <c r="E241" s="2"/>
    </row>
    <row r="242" spans="5:5" ht="15.75" customHeight="1">
      <c r="E242" s="2"/>
    </row>
    <row r="243" spans="5:5" ht="15.75" customHeight="1">
      <c r="E243" s="2"/>
    </row>
    <row r="244" spans="5:5" ht="15.75" customHeight="1">
      <c r="E244" s="2"/>
    </row>
    <row r="245" spans="5:5" ht="15.75" customHeight="1">
      <c r="E245" s="2"/>
    </row>
    <row r="246" spans="5:5" ht="15.75" customHeight="1">
      <c r="E246" s="2"/>
    </row>
    <row r="247" spans="5:5" ht="15.75" customHeight="1">
      <c r="E247" s="2"/>
    </row>
    <row r="248" spans="5:5" ht="15.75" customHeight="1">
      <c r="E248" s="2"/>
    </row>
    <row r="249" spans="5:5" ht="15.75" customHeight="1">
      <c r="E249" s="2"/>
    </row>
    <row r="250" spans="5:5" ht="15.75" customHeight="1">
      <c r="E250" s="2"/>
    </row>
    <row r="251" spans="5:5" ht="15.75" customHeight="1">
      <c r="E251" s="2"/>
    </row>
    <row r="252" spans="5:5" ht="15.75" customHeight="1">
      <c r="E252" s="2"/>
    </row>
    <row r="253" spans="5:5" ht="15.75" customHeight="1">
      <c r="E253" s="2"/>
    </row>
    <row r="254" spans="5:5" ht="15.75" customHeight="1">
      <c r="E254" s="2"/>
    </row>
    <row r="255" spans="5:5" ht="15.75" customHeight="1">
      <c r="E255" s="2"/>
    </row>
    <row r="256" spans="5:5" ht="15.75" customHeight="1">
      <c r="E256" s="2"/>
    </row>
    <row r="257" spans="5:5" ht="15.75" customHeight="1">
      <c r="E257" s="2"/>
    </row>
    <row r="258" spans="5:5" ht="15.75" customHeight="1">
      <c r="E258" s="2"/>
    </row>
    <row r="259" spans="5:5" ht="15.75" customHeight="1">
      <c r="E259" s="2"/>
    </row>
    <row r="260" spans="5:5" ht="15.75" customHeight="1">
      <c r="E260" s="2"/>
    </row>
    <row r="261" spans="5:5" ht="15.75" customHeight="1">
      <c r="E261" s="2"/>
    </row>
    <row r="262" spans="5:5" ht="15.75" customHeight="1">
      <c r="E262" s="2"/>
    </row>
    <row r="263" spans="5:5" ht="15.75" customHeight="1">
      <c r="E263" s="2"/>
    </row>
    <row r="264" spans="5:5" ht="15.75" customHeight="1">
      <c r="E264" s="2"/>
    </row>
    <row r="265" spans="5:5" ht="15.75" customHeight="1">
      <c r="E265" s="2"/>
    </row>
    <row r="266" spans="5:5" ht="15.75" customHeight="1">
      <c r="E266" s="2"/>
    </row>
    <row r="267" spans="5:5" ht="15.75" customHeight="1">
      <c r="E267" s="2"/>
    </row>
    <row r="268" spans="5:5" ht="15.75" customHeight="1">
      <c r="E268" s="2"/>
    </row>
    <row r="269" spans="5:5" ht="15.75" customHeight="1">
      <c r="E269" s="2"/>
    </row>
    <row r="270" spans="5:5" ht="15.75" customHeight="1">
      <c r="E270" s="2"/>
    </row>
    <row r="271" spans="5:5" ht="15.75" customHeight="1">
      <c r="E271" s="2"/>
    </row>
    <row r="272" spans="5:5" ht="15.75" customHeight="1">
      <c r="E272" s="2"/>
    </row>
    <row r="273" spans="5:5" ht="15.75" customHeight="1">
      <c r="E273" s="2"/>
    </row>
    <row r="274" spans="5:5" ht="15.75" customHeight="1">
      <c r="E274" s="2"/>
    </row>
    <row r="275" spans="5:5" ht="15.75" customHeight="1">
      <c r="E275" s="2"/>
    </row>
    <row r="276" spans="5:5" ht="15.75" customHeight="1">
      <c r="E276" s="2"/>
    </row>
    <row r="277" spans="5:5" ht="15.75" customHeight="1">
      <c r="E277" s="2"/>
    </row>
    <row r="278" spans="5:5" ht="15.75" customHeight="1">
      <c r="E278" s="2"/>
    </row>
    <row r="279" spans="5:5" ht="15.75" customHeight="1">
      <c r="E279" s="2"/>
    </row>
    <row r="280" spans="5:5" ht="15.75" customHeight="1">
      <c r="E280" s="2"/>
    </row>
    <row r="281" spans="5:5" ht="15.75" customHeight="1">
      <c r="E281" s="2"/>
    </row>
    <row r="282" spans="5:5" ht="15.75" customHeight="1">
      <c r="E282" s="2"/>
    </row>
    <row r="283" spans="5:5" ht="15.75" customHeight="1">
      <c r="E283" s="2"/>
    </row>
    <row r="284" spans="5:5" ht="15.75" customHeight="1">
      <c r="E284" s="2"/>
    </row>
    <row r="285" spans="5:5" ht="15.75" customHeight="1">
      <c r="E285" s="2"/>
    </row>
    <row r="286" spans="5:5" ht="15.75" customHeight="1">
      <c r="E286" s="2"/>
    </row>
    <row r="287" spans="5:5" ht="15.75" customHeight="1">
      <c r="E287" s="2"/>
    </row>
    <row r="288" spans="5:5" ht="15.75" customHeight="1">
      <c r="E288" s="2"/>
    </row>
    <row r="289" spans="5:5" ht="15.75" customHeight="1">
      <c r="E289" s="2"/>
    </row>
    <row r="290" spans="5:5" ht="15.75" customHeight="1">
      <c r="E290" s="2"/>
    </row>
    <row r="291" spans="5:5" ht="15.75" customHeight="1">
      <c r="E291" s="2"/>
    </row>
    <row r="292" spans="5:5" ht="15.75" customHeight="1">
      <c r="E292" s="2"/>
    </row>
    <row r="293" spans="5:5" ht="15.75" customHeight="1">
      <c r="E293" s="2"/>
    </row>
    <row r="294" spans="5:5" ht="15.75" customHeight="1">
      <c r="E294" s="2"/>
    </row>
    <row r="295" spans="5:5" ht="15.75" customHeight="1">
      <c r="E295" s="2"/>
    </row>
    <row r="296" spans="5:5" ht="15.75" customHeight="1">
      <c r="E296" s="2"/>
    </row>
    <row r="297" spans="5:5" ht="15.75" customHeight="1">
      <c r="E297" s="2"/>
    </row>
    <row r="298" spans="5:5" ht="15.75" customHeight="1">
      <c r="E298" s="2"/>
    </row>
    <row r="299" spans="5:5" ht="15.75" customHeight="1">
      <c r="E299" s="2"/>
    </row>
    <row r="300" spans="5:5" ht="15.75" customHeight="1">
      <c r="E300" s="2"/>
    </row>
    <row r="301" spans="5:5" ht="15.75" customHeight="1">
      <c r="E301" s="2"/>
    </row>
    <row r="302" spans="5:5" ht="15.75" customHeight="1">
      <c r="E302" s="2"/>
    </row>
    <row r="303" spans="5:5" ht="15.75" customHeight="1">
      <c r="E303" s="2"/>
    </row>
    <row r="304" spans="5:5" ht="15.75" customHeight="1">
      <c r="E304" s="2"/>
    </row>
    <row r="305" spans="5:5" ht="15.75" customHeight="1">
      <c r="E305" s="2"/>
    </row>
    <row r="306" spans="5:5" ht="15.75" customHeight="1">
      <c r="E306" s="2"/>
    </row>
    <row r="307" spans="5:5" ht="15.75" customHeight="1">
      <c r="E307" s="2"/>
    </row>
    <row r="308" spans="5:5" ht="15.75" customHeight="1">
      <c r="E308" s="2"/>
    </row>
    <row r="309" spans="5:5" ht="15.75" customHeight="1">
      <c r="E309" s="2"/>
    </row>
    <row r="310" spans="5:5" ht="15.75" customHeight="1">
      <c r="E310" s="2"/>
    </row>
    <row r="311" spans="5:5" ht="15.75" customHeight="1">
      <c r="E311" s="2"/>
    </row>
    <row r="312" spans="5:5" ht="15.75" customHeight="1">
      <c r="E312" s="2"/>
    </row>
    <row r="313" spans="5:5" ht="15.75" customHeight="1">
      <c r="E313" s="2"/>
    </row>
    <row r="314" spans="5:5" ht="15.75" customHeight="1">
      <c r="E314" s="2"/>
    </row>
    <row r="315" spans="5:5" ht="15.75" customHeight="1">
      <c r="E315" s="2"/>
    </row>
    <row r="316" spans="5:5" ht="15.75" customHeight="1">
      <c r="E316" s="2"/>
    </row>
    <row r="317" spans="5:5" ht="15.75" customHeight="1">
      <c r="E317" s="2"/>
    </row>
    <row r="318" spans="5:5" ht="15.75" customHeight="1">
      <c r="E318" s="2"/>
    </row>
    <row r="319" spans="5:5" ht="15.75" customHeight="1">
      <c r="E319" s="2"/>
    </row>
    <row r="320" spans="5:5" ht="15.75" customHeight="1">
      <c r="E320" s="2"/>
    </row>
    <row r="321" spans="5:5" ht="15.75" customHeight="1">
      <c r="E321" s="2"/>
    </row>
    <row r="322" spans="5:5" ht="15.75" customHeight="1">
      <c r="E322" s="2"/>
    </row>
    <row r="323" spans="5:5" ht="15.75" customHeight="1">
      <c r="E323" s="2"/>
    </row>
    <row r="324" spans="5:5" ht="15.75" customHeight="1">
      <c r="E324" s="2"/>
    </row>
    <row r="325" spans="5:5" ht="15.75" customHeight="1">
      <c r="E325" s="2"/>
    </row>
    <row r="326" spans="5:5" ht="15.75" customHeight="1">
      <c r="E326" s="2"/>
    </row>
    <row r="327" spans="5:5" ht="15.75" customHeight="1">
      <c r="E327" s="2"/>
    </row>
    <row r="328" spans="5:5" ht="15.75" customHeight="1">
      <c r="E328" s="2"/>
    </row>
    <row r="329" spans="5:5" ht="15.75" customHeight="1">
      <c r="E329" s="2"/>
    </row>
    <row r="330" spans="5:5" ht="15.75" customHeight="1">
      <c r="E330" s="2"/>
    </row>
    <row r="331" spans="5:5" ht="15.75" customHeight="1">
      <c r="E331" s="2"/>
    </row>
    <row r="332" spans="5:5" ht="15.75" customHeight="1">
      <c r="E332" s="2"/>
    </row>
    <row r="333" spans="5:5" ht="15.75" customHeight="1">
      <c r="E333" s="2"/>
    </row>
    <row r="334" spans="5:5" ht="15.75" customHeight="1">
      <c r="E334" s="2"/>
    </row>
    <row r="335" spans="5:5" ht="15.75" customHeight="1">
      <c r="E335" s="2"/>
    </row>
    <row r="336" spans="5:5" ht="15.75" customHeight="1">
      <c r="E336" s="2"/>
    </row>
    <row r="337" spans="5:5" ht="15.75" customHeight="1">
      <c r="E337" s="2"/>
    </row>
    <row r="338" spans="5:5" ht="15.75" customHeight="1">
      <c r="E338" s="2"/>
    </row>
    <row r="339" spans="5:5" ht="15.75" customHeight="1">
      <c r="E339" s="2"/>
    </row>
    <row r="340" spans="5:5" ht="15.75" customHeight="1">
      <c r="E340" s="2"/>
    </row>
    <row r="341" spans="5:5" ht="15.75" customHeight="1">
      <c r="E341" s="2"/>
    </row>
    <row r="342" spans="5:5" ht="15.75" customHeight="1">
      <c r="E342" s="2"/>
    </row>
    <row r="343" spans="5:5" ht="15.75" customHeight="1">
      <c r="E343" s="2"/>
    </row>
    <row r="344" spans="5:5" ht="15.75" customHeight="1">
      <c r="E344" s="2"/>
    </row>
    <row r="345" spans="5:5" ht="15.75" customHeight="1">
      <c r="E345" s="2"/>
    </row>
    <row r="346" spans="5:5" ht="15.75" customHeight="1">
      <c r="E346" s="2"/>
    </row>
    <row r="347" spans="5:5" ht="15.75" customHeight="1">
      <c r="E347" s="2"/>
    </row>
    <row r="348" spans="5:5" ht="15.75" customHeight="1">
      <c r="E348" s="2"/>
    </row>
    <row r="349" spans="5:5" ht="15.75" customHeight="1">
      <c r="E349" s="2"/>
    </row>
    <row r="350" spans="5:5" ht="15.75" customHeight="1">
      <c r="E350" s="2"/>
    </row>
    <row r="351" spans="5:5" ht="15.75" customHeight="1">
      <c r="E351" s="2"/>
    </row>
    <row r="352" spans="5:5" ht="15.75" customHeight="1">
      <c r="E352" s="2"/>
    </row>
    <row r="353" spans="5:5" ht="15.75" customHeight="1">
      <c r="E353" s="2"/>
    </row>
    <row r="354" spans="5:5" ht="15.75" customHeight="1">
      <c r="E354" s="2"/>
    </row>
    <row r="355" spans="5:5" ht="15.75" customHeight="1">
      <c r="E355" s="2"/>
    </row>
    <row r="356" spans="5:5" ht="15.75" customHeight="1">
      <c r="E356" s="2"/>
    </row>
    <row r="357" spans="5:5" ht="15.75" customHeight="1">
      <c r="E357" s="2"/>
    </row>
    <row r="358" spans="5:5" ht="15.75" customHeight="1">
      <c r="E358" s="2"/>
    </row>
    <row r="359" spans="5:5" ht="15.75" customHeight="1">
      <c r="E359" s="2"/>
    </row>
    <row r="360" spans="5:5" ht="15.75" customHeight="1">
      <c r="E360" s="2"/>
    </row>
    <row r="361" spans="5:5" ht="15.75" customHeight="1">
      <c r="E361" s="2"/>
    </row>
    <row r="362" spans="5:5" ht="15.75" customHeight="1">
      <c r="E362" s="2"/>
    </row>
    <row r="363" spans="5:5" ht="15.75" customHeight="1">
      <c r="E363" s="2"/>
    </row>
    <row r="364" spans="5:5" ht="15.75" customHeight="1">
      <c r="E364" s="2"/>
    </row>
    <row r="365" spans="5:5" ht="15.75" customHeight="1">
      <c r="E365" s="2"/>
    </row>
    <row r="366" spans="5:5" ht="15.75" customHeight="1">
      <c r="E366" s="2"/>
    </row>
    <row r="367" spans="5:5" ht="15.75" customHeight="1">
      <c r="E367" s="2"/>
    </row>
    <row r="368" spans="5:5" ht="15.75" customHeight="1">
      <c r="E368" s="2"/>
    </row>
    <row r="369" spans="5:5" ht="15.75" customHeight="1">
      <c r="E369" s="2"/>
    </row>
    <row r="370" spans="5:5" ht="15.75" customHeight="1">
      <c r="E370" s="2"/>
    </row>
    <row r="371" spans="5:5" ht="15.75" customHeight="1">
      <c r="E371" s="2"/>
    </row>
    <row r="372" spans="5:5" ht="15.75" customHeight="1">
      <c r="E372" s="2"/>
    </row>
    <row r="373" spans="5:5" ht="15.75" customHeight="1">
      <c r="E373" s="2"/>
    </row>
    <row r="374" spans="5:5" ht="15.75" customHeight="1">
      <c r="E374" s="2"/>
    </row>
    <row r="375" spans="5:5" ht="15.75" customHeight="1">
      <c r="E375" s="2"/>
    </row>
    <row r="376" spans="5:5" ht="15.75" customHeight="1">
      <c r="E376" s="2"/>
    </row>
    <row r="377" spans="5:5" ht="15.75" customHeight="1">
      <c r="E377" s="2"/>
    </row>
    <row r="378" spans="5:5" ht="15.75" customHeight="1">
      <c r="E378" s="2"/>
    </row>
    <row r="379" spans="5:5" ht="15.75" customHeight="1">
      <c r="E379" s="2"/>
    </row>
    <row r="380" spans="5:5" ht="15.75" customHeight="1">
      <c r="E380" s="2"/>
    </row>
    <row r="381" spans="5:5" ht="15.75" customHeight="1">
      <c r="E381" s="2"/>
    </row>
    <row r="382" spans="5:5" ht="15.75" customHeight="1">
      <c r="E382" s="2"/>
    </row>
    <row r="383" spans="5:5" ht="15.75" customHeight="1">
      <c r="E383" s="2"/>
    </row>
    <row r="384" spans="5:5" ht="15.75" customHeight="1">
      <c r="E384" s="2"/>
    </row>
    <row r="385" spans="5:5" ht="15.75" customHeight="1">
      <c r="E385" s="2"/>
    </row>
    <row r="386" spans="5:5" ht="15.75" customHeight="1">
      <c r="E386" s="2"/>
    </row>
    <row r="387" spans="5:5" ht="15.75" customHeight="1">
      <c r="E387" s="2"/>
    </row>
    <row r="388" spans="5:5" ht="15.75" customHeight="1">
      <c r="E388" s="2"/>
    </row>
    <row r="389" spans="5:5" ht="15.75" customHeight="1">
      <c r="E389" s="2"/>
    </row>
    <row r="390" spans="5:5" ht="15.75" customHeight="1">
      <c r="E390" s="2"/>
    </row>
    <row r="391" spans="5:5" ht="15.75" customHeight="1">
      <c r="E391" s="2"/>
    </row>
    <row r="392" spans="5:5" ht="15.75" customHeight="1">
      <c r="E392" s="2"/>
    </row>
    <row r="393" spans="5:5" ht="15.75" customHeight="1">
      <c r="E393" s="2"/>
    </row>
    <row r="394" spans="5:5" ht="15.75" customHeight="1">
      <c r="E394" s="2"/>
    </row>
    <row r="395" spans="5:5" ht="15.75" customHeight="1">
      <c r="E395" s="2"/>
    </row>
    <row r="396" spans="5:5" ht="15.75" customHeight="1">
      <c r="E396" s="2"/>
    </row>
    <row r="397" spans="5:5" ht="15.75" customHeight="1">
      <c r="E397" s="2"/>
    </row>
    <row r="398" spans="5:5" ht="15.75" customHeight="1">
      <c r="E398" s="2"/>
    </row>
    <row r="399" spans="5:5" ht="15.75" customHeight="1">
      <c r="E399" s="2"/>
    </row>
    <row r="400" spans="5:5" ht="15.75" customHeight="1">
      <c r="E400" s="2"/>
    </row>
    <row r="401" spans="5:5" ht="15.75" customHeight="1">
      <c r="E401" s="2"/>
    </row>
    <row r="402" spans="5:5" ht="15.75" customHeight="1">
      <c r="E402" s="2"/>
    </row>
    <row r="403" spans="5:5" ht="15.75" customHeight="1">
      <c r="E403" s="2"/>
    </row>
    <row r="404" spans="5:5" ht="15.75" customHeight="1">
      <c r="E404" s="2"/>
    </row>
    <row r="405" spans="5:5" ht="15.75" customHeight="1">
      <c r="E405" s="2"/>
    </row>
    <row r="406" spans="5:5" ht="15.75" customHeight="1">
      <c r="E406" s="2"/>
    </row>
    <row r="407" spans="5:5" ht="15.75" customHeight="1">
      <c r="E407" s="2"/>
    </row>
    <row r="408" spans="5:5" ht="15.75" customHeight="1">
      <c r="E408" s="2"/>
    </row>
    <row r="409" spans="5:5" ht="15.75" customHeight="1">
      <c r="E409" s="2"/>
    </row>
    <row r="410" spans="5:5" ht="15.75" customHeight="1">
      <c r="E410" s="2"/>
    </row>
    <row r="411" spans="5:5" ht="15.75" customHeight="1">
      <c r="E411" s="2"/>
    </row>
    <row r="412" spans="5:5" ht="15.75" customHeight="1">
      <c r="E412" s="2"/>
    </row>
    <row r="413" spans="5:5" ht="15.75" customHeight="1">
      <c r="E413" s="2"/>
    </row>
    <row r="414" spans="5:5" ht="15.75" customHeight="1">
      <c r="E414" s="2"/>
    </row>
    <row r="415" spans="5:5" ht="15.75" customHeight="1">
      <c r="E415" s="2"/>
    </row>
    <row r="416" spans="5:5" ht="15.75" customHeight="1">
      <c r="E416" s="2"/>
    </row>
    <row r="417" spans="5:5" ht="15.75" customHeight="1">
      <c r="E417" s="2"/>
    </row>
    <row r="418" spans="5:5" ht="15.75" customHeight="1">
      <c r="E418" s="2"/>
    </row>
    <row r="419" spans="5:5" ht="15.75" customHeight="1">
      <c r="E419" s="2"/>
    </row>
    <row r="420" spans="5:5" ht="15.75" customHeight="1">
      <c r="E420" s="2"/>
    </row>
    <row r="421" spans="5:5" ht="15.75" customHeight="1">
      <c r="E421" s="2"/>
    </row>
    <row r="422" spans="5:5" ht="15.75" customHeight="1">
      <c r="E422" s="2"/>
    </row>
    <row r="423" spans="5:5" ht="15.75" customHeight="1">
      <c r="E423" s="2"/>
    </row>
    <row r="424" spans="5:5" ht="15.75" customHeight="1">
      <c r="E424" s="2"/>
    </row>
    <row r="425" spans="5:5" ht="15.75" customHeight="1">
      <c r="E425" s="2"/>
    </row>
    <row r="426" spans="5:5" ht="15.75" customHeight="1">
      <c r="E426" s="2"/>
    </row>
    <row r="427" spans="5:5" ht="15.75" customHeight="1">
      <c r="E427" s="2"/>
    </row>
    <row r="428" spans="5:5" ht="15.75" customHeight="1">
      <c r="E428" s="2"/>
    </row>
    <row r="429" spans="5:5" ht="15.75" customHeight="1">
      <c r="E429" s="2"/>
    </row>
    <row r="430" spans="5:5" ht="15.75" customHeight="1">
      <c r="E430" s="2"/>
    </row>
    <row r="431" spans="5:5" ht="15.75" customHeight="1">
      <c r="E431" s="2"/>
    </row>
    <row r="432" spans="5:5" ht="15.75" customHeight="1">
      <c r="E432" s="2"/>
    </row>
    <row r="433" spans="5:5" ht="15.75" customHeight="1">
      <c r="E433" s="2"/>
    </row>
    <row r="434" spans="5:5" ht="15.75" customHeight="1">
      <c r="E434" s="2"/>
    </row>
    <row r="435" spans="5:5" ht="15.75" customHeight="1">
      <c r="E435" s="2"/>
    </row>
    <row r="436" spans="5:5" ht="15.75" customHeight="1">
      <c r="E436" s="2"/>
    </row>
    <row r="437" spans="5:5" ht="15.75" customHeight="1">
      <c r="E437" s="2"/>
    </row>
    <row r="438" spans="5:5" ht="15.75" customHeight="1">
      <c r="E438" s="2"/>
    </row>
    <row r="439" spans="5:5" ht="15.75" customHeight="1">
      <c r="E439" s="2"/>
    </row>
    <row r="440" spans="5:5" ht="15.75" customHeight="1">
      <c r="E440" s="2"/>
    </row>
    <row r="441" spans="5:5" ht="15.75" customHeight="1">
      <c r="E441" s="2"/>
    </row>
    <row r="442" spans="5:5" ht="15.75" customHeight="1">
      <c r="E442" s="2"/>
    </row>
    <row r="443" spans="5:5" ht="15.75" customHeight="1">
      <c r="E443" s="2"/>
    </row>
    <row r="444" spans="5:5" ht="15.75" customHeight="1">
      <c r="E444" s="2"/>
    </row>
    <row r="445" spans="5:5" ht="15.75" customHeight="1">
      <c r="E445" s="2"/>
    </row>
    <row r="446" spans="5:5" ht="15.75" customHeight="1">
      <c r="E446" s="2"/>
    </row>
    <row r="447" spans="5:5" ht="15.75" customHeight="1">
      <c r="E447" s="2"/>
    </row>
    <row r="448" spans="5:5" ht="15.75" customHeight="1">
      <c r="E448" s="2"/>
    </row>
    <row r="449" spans="5:5" ht="15.75" customHeight="1">
      <c r="E449" s="2"/>
    </row>
    <row r="450" spans="5:5" ht="15.75" customHeight="1">
      <c r="E450" s="2"/>
    </row>
    <row r="451" spans="5:5" ht="15.75" customHeight="1">
      <c r="E451" s="2"/>
    </row>
    <row r="452" spans="5:5" ht="15.75" customHeight="1">
      <c r="E452" s="2"/>
    </row>
    <row r="453" spans="5:5" ht="15.75" customHeight="1">
      <c r="E453" s="2"/>
    </row>
    <row r="454" spans="5:5" ht="15.75" customHeight="1">
      <c r="E454" s="2"/>
    </row>
    <row r="455" spans="5:5" ht="15.75" customHeight="1">
      <c r="E455" s="2"/>
    </row>
    <row r="456" spans="5:5" ht="15.75" customHeight="1">
      <c r="E456" s="2"/>
    </row>
    <row r="457" spans="5:5" ht="15.75" customHeight="1">
      <c r="E457" s="2"/>
    </row>
    <row r="458" spans="5:5" ht="15.75" customHeight="1">
      <c r="E458" s="2"/>
    </row>
    <row r="459" spans="5:5" ht="15.75" customHeight="1">
      <c r="E459" s="2"/>
    </row>
    <row r="460" spans="5:5" ht="15.75" customHeight="1">
      <c r="E460" s="2"/>
    </row>
    <row r="461" spans="5:5" ht="15.75" customHeight="1">
      <c r="E461" s="2"/>
    </row>
    <row r="462" spans="5:5" ht="15.75" customHeight="1">
      <c r="E462" s="2"/>
    </row>
    <row r="463" spans="5:5" ht="15.75" customHeight="1">
      <c r="E463" s="2"/>
    </row>
    <row r="464" spans="5:5" ht="15.75" customHeight="1">
      <c r="E464" s="2"/>
    </row>
    <row r="465" spans="5:5" ht="15.75" customHeight="1">
      <c r="E465" s="2"/>
    </row>
    <row r="466" spans="5:5" ht="15.75" customHeight="1">
      <c r="E466" s="2"/>
    </row>
    <row r="467" spans="5:5" ht="15.75" customHeight="1">
      <c r="E467" s="2"/>
    </row>
    <row r="468" spans="5:5" ht="15.75" customHeight="1">
      <c r="E468" s="2"/>
    </row>
    <row r="469" spans="5:5" ht="15.75" customHeight="1">
      <c r="E469" s="2"/>
    </row>
    <row r="470" spans="5:5" ht="15.75" customHeight="1">
      <c r="E470" s="2"/>
    </row>
    <row r="471" spans="5:5" ht="15.75" customHeight="1">
      <c r="E471" s="2"/>
    </row>
    <row r="472" spans="5:5" ht="15.75" customHeight="1">
      <c r="E472" s="2"/>
    </row>
    <row r="473" spans="5:5" ht="15.75" customHeight="1">
      <c r="E473" s="2"/>
    </row>
    <row r="474" spans="5:5" ht="15.75" customHeight="1">
      <c r="E474" s="2"/>
    </row>
    <row r="475" spans="5:5" ht="15.75" customHeight="1">
      <c r="E475" s="2"/>
    </row>
    <row r="476" spans="5:5" ht="15.75" customHeight="1">
      <c r="E476" s="2"/>
    </row>
    <row r="477" spans="5:5" ht="15.75" customHeight="1">
      <c r="E477" s="2"/>
    </row>
    <row r="478" spans="5:5" ht="15.75" customHeight="1">
      <c r="E478" s="2"/>
    </row>
    <row r="479" spans="5:5" ht="15.75" customHeight="1">
      <c r="E479" s="2"/>
    </row>
    <row r="480" spans="5:5" ht="15.75" customHeight="1">
      <c r="E480" s="2"/>
    </row>
    <row r="481" spans="5:5" ht="15.75" customHeight="1">
      <c r="E481" s="2"/>
    </row>
    <row r="482" spans="5:5" ht="15.75" customHeight="1">
      <c r="E482" s="2"/>
    </row>
    <row r="483" spans="5:5" ht="15.75" customHeight="1">
      <c r="E483" s="2"/>
    </row>
    <row r="484" spans="5:5" ht="15.75" customHeight="1">
      <c r="E484" s="2"/>
    </row>
    <row r="485" spans="5:5" ht="15.75" customHeight="1">
      <c r="E485" s="2"/>
    </row>
    <row r="486" spans="5:5" ht="15.75" customHeight="1">
      <c r="E486" s="2"/>
    </row>
    <row r="487" spans="5:5" ht="15.75" customHeight="1">
      <c r="E487" s="2"/>
    </row>
    <row r="488" spans="5:5" ht="15.75" customHeight="1">
      <c r="E488" s="2"/>
    </row>
    <row r="489" spans="5:5" ht="15.75" customHeight="1">
      <c r="E489" s="2"/>
    </row>
    <row r="490" spans="5:5" ht="15.75" customHeight="1">
      <c r="E490" s="2"/>
    </row>
    <row r="491" spans="5:5" ht="15.75" customHeight="1">
      <c r="E491" s="2"/>
    </row>
    <row r="492" spans="5:5" ht="15.75" customHeight="1">
      <c r="E492" s="2"/>
    </row>
    <row r="493" spans="5:5" ht="15.75" customHeight="1">
      <c r="E493" s="2"/>
    </row>
    <row r="494" spans="5:5" ht="15.75" customHeight="1">
      <c r="E494" s="2"/>
    </row>
    <row r="495" spans="5:5" ht="15.75" customHeight="1">
      <c r="E495" s="2"/>
    </row>
    <row r="496" spans="5:5" ht="15.75" customHeight="1">
      <c r="E496" s="2"/>
    </row>
    <row r="497" spans="5:5" ht="15.75" customHeight="1">
      <c r="E497" s="2"/>
    </row>
    <row r="498" spans="5:5" ht="15.75" customHeight="1">
      <c r="E498" s="2"/>
    </row>
    <row r="499" spans="5:5" ht="15.75" customHeight="1">
      <c r="E499" s="2"/>
    </row>
    <row r="500" spans="5:5" ht="15.75" customHeight="1">
      <c r="E500" s="2"/>
    </row>
    <row r="501" spans="5:5" ht="15.75" customHeight="1">
      <c r="E501" s="2"/>
    </row>
    <row r="502" spans="5:5" ht="15.75" customHeight="1">
      <c r="E502" s="2"/>
    </row>
    <row r="503" spans="5:5" ht="15.75" customHeight="1">
      <c r="E503" s="2"/>
    </row>
    <row r="504" spans="5:5" ht="15.75" customHeight="1">
      <c r="E504" s="2"/>
    </row>
    <row r="505" spans="5:5" ht="15.75" customHeight="1">
      <c r="E505" s="2"/>
    </row>
    <row r="506" spans="5:5" ht="15.75" customHeight="1">
      <c r="E506" s="2"/>
    </row>
    <row r="507" spans="5:5" ht="15.75" customHeight="1">
      <c r="E507" s="2"/>
    </row>
    <row r="508" spans="5:5" ht="15.75" customHeight="1">
      <c r="E508" s="2"/>
    </row>
    <row r="509" spans="5:5" ht="15.75" customHeight="1">
      <c r="E509" s="2"/>
    </row>
    <row r="510" spans="5:5" ht="15.75" customHeight="1">
      <c r="E510" s="2"/>
    </row>
    <row r="511" spans="5:5" ht="15.75" customHeight="1">
      <c r="E511" s="2"/>
    </row>
    <row r="512" spans="5:5" ht="15.75" customHeight="1">
      <c r="E512" s="2"/>
    </row>
    <row r="513" spans="5:5" ht="15.75" customHeight="1">
      <c r="E513" s="2"/>
    </row>
    <row r="514" spans="5:5" ht="15.75" customHeight="1">
      <c r="E514" s="2"/>
    </row>
    <row r="515" spans="5:5" ht="15.75" customHeight="1">
      <c r="E515" s="2"/>
    </row>
    <row r="516" spans="5:5" ht="15.75" customHeight="1">
      <c r="E516" s="2"/>
    </row>
    <row r="517" spans="5:5" ht="15.75" customHeight="1">
      <c r="E517" s="2"/>
    </row>
    <row r="518" spans="5:5" ht="15.75" customHeight="1">
      <c r="E518" s="2"/>
    </row>
    <row r="519" spans="5:5" ht="15.75" customHeight="1">
      <c r="E519" s="2"/>
    </row>
    <row r="520" spans="5:5" ht="15.75" customHeight="1">
      <c r="E520" s="2"/>
    </row>
    <row r="521" spans="5:5" ht="15.75" customHeight="1">
      <c r="E521" s="2"/>
    </row>
    <row r="522" spans="5:5" ht="15.75" customHeight="1">
      <c r="E522" s="2"/>
    </row>
    <row r="523" spans="5:5" ht="15.75" customHeight="1">
      <c r="E523" s="2"/>
    </row>
    <row r="524" spans="5:5" ht="15.75" customHeight="1">
      <c r="E524" s="2"/>
    </row>
    <row r="525" spans="5:5" ht="15.75" customHeight="1">
      <c r="E525" s="2"/>
    </row>
    <row r="526" spans="5:5" ht="15.75" customHeight="1">
      <c r="E526" s="2"/>
    </row>
    <row r="527" spans="5:5" ht="15.75" customHeight="1">
      <c r="E527" s="2"/>
    </row>
    <row r="528" spans="5:5" ht="15.75" customHeight="1">
      <c r="E528" s="2"/>
    </row>
    <row r="529" spans="5:5" ht="15.75" customHeight="1">
      <c r="E529" s="2"/>
    </row>
    <row r="530" spans="5:5" ht="15.75" customHeight="1">
      <c r="E530" s="2"/>
    </row>
    <row r="531" spans="5:5" ht="15.75" customHeight="1">
      <c r="E531" s="2"/>
    </row>
    <row r="532" spans="5:5" ht="15.75" customHeight="1">
      <c r="E532" s="2"/>
    </row>
    <row r="533" spans="5:5" ht="15.75" customHeight="1">
      <c r="E533" s="2"/>
    </row>
    <row r="534" spans="5:5" ht="15.75" customHeight="1">
      <c r="E534" s="2"/>
    </row>
    <row r="535" spans="5:5" ht="15.75" customHeight="1">
      <c r="E535" s="2"/>
    </row>
    <row r="536" spans="5:5" ht="15.75" customHeight="1">
      <c r="E536" s="2"/>
    </row>
    <row r="537" spans="5:5" ht="15.75" customHeight="1">
      <c r="E537" s="2"/>
    </row>
    <row r="538" spans="5:5" ht="15.75" customHeight="1">
      <c r="E538" s="2"/>
    </row>
    <row r="539" spans="5:5" ht="15.75" customHeight="1">
      <c r="E539" s="2"/>
    </row>
    <row r="540" spans="5:5" ht="15.75" customHeight="1">
      <c r="E540" s="2"/>
    </row>
    <row r="541" spans="5:5" ht="15.75" customHeight="1">
      <c r="E541" s="2"/>
    </row>
    <row r="542" spans="5:5" ht="15.75" customHeight="1">
      <c r="E542" s="2"/>
    </row>
    <row r="543" spans="5:5" ht="15.75" customHeight="1">
      <c r="E543" s="2"/>
    </row>
    <row r="544" spans="5:5" ht="15.75" customHeight="1">
      <c r="E544" s="2"/>
    </row>
    <row r="545" spans="5:5" ht="15.75" customHeight="1">
      <c r="E545" s="2"/>
    </row>
    <row r="546" spans="5:5" ht="15.75" customHeight="1">
      <c r="E546" s="2"/>
    </row>
    <row r="547" spans="5:5" ht="15.75" customHeight="1">
      <c r="E547" s="2"/>
    </row>
    <row r="548" spans="5:5" ht="15.75" customHeight="1">
      <c r="E548" s="2"/>
    </row>
    <row r="549" spans="5:5" ht="15.75" customHeight="1">
      <c r="E549" s="2"/>
    </row>
    <row r="550" spans="5:5" ht="15.75" customHeight="1">
      <c r="E550" s="2"/>
    </row>
    <row r="551" spans="5:5" ht="15.75" customHeight="1">
      <c r="E551" s="2"/>
    </row>
    <row r="552" spans="5:5" ht="15.75" customHeight="1">
      <c r="E552" s="2"/>
    </row>
    <row r="553" spans="5:5" ht="15.75" customHeight="1">
      <c r="E553" s="2"/>
    </row>
    <row r="554" spans="5:5" ht="15.75" customHeight="1">
      <c r="E554" s="2"/>
    </row>
    <row r="555" spans="5:5" ht="15.75" customHeight="1">
      <c r="E555" s="2"/>
    </row>
    <row r="556" spans="5:5" ht="15.75" customHeight="1">
      <c r="E556" s="2"/>
    </row>
    <row r="557" spans="5:5" ht="15.75" customHeight="1">
      <c r="E557" s="2"/>
    </row>
    <row r="558" spans="5:5" ht="15.75" customHeight="1">
      <c r="E558" s="2"/>
    </row>
    <row r="559" spans="5:5" ht="15.75" customHeight="1">
      <c r="E559" s="2"/>
    </row>
    <row r="560" spans="5:5" ht="15.75" customHeight="1">
      <c r="E560" s="2"/>
    </row>
    <row r="561" spans="5:5" ht="15.75" customHeight="1">
      <c r="E561" s="2"/>
    </row>
    <row r="562" spans="5:5" ht="15.75" customHeight="1">
      <c r="E562" s="2"/>
    </row>
    <row r="563" spans="5:5" ht="15.75" customHeight="1">
      <c r="E563" s="2"/>
    </row>
    <row r="564" spans="5:5" ht="15.75" customHeight="1">
      <c r="E564" s="2"/>
    </row>
    <row r="565" spans="5:5" ht="15.75" customHeight="1">
      <c r="E565" s="2"/>
    </row>
    <row r="566" spans="5:5" ht="15.75" customHeight="1">
      <c r="E566" s="2"/>
    </row>
    <row r="567" spans="5:5" ht="15.75" customHeight="1">
      <c r="E567" s="2"/>
    </row>
    <row r="568" spans="5:5" ht="15.75" customHeight="1">
      <c r="E568" s="2"/>
    </row>
    <row r="569" spans="5:5" ht="15.75" customHeight="1">
      <c r="E569" s="2"/>
    </row>
    <row r="570" spans="5:5" ht="15.75" customHeight="1">
      <c r="E570" s="2"/>
    </row>
    <row r="571" spans="5:5" ht="15.75" customHeight="1">
      <c r="E571" s="2"/>
    </row>
    <row r="572" spans="5:5" ht="15.75" customHeight="1">
      <c r="E572" s="2"/>
    </row>
    <row r="573" spans="5:5" ht="15.75" customHeight="1">
      <c r="E573" s="2"/>
    </row>
    <row r="574" spans="5:5" ht="15.75" customHeight="1">
      <c r="E574" s="2"/>
    </row>
    <row r="575" spans="5:5" ht="15.75" customHeight="1">
      <c r="E575" s="2"/>
    </row>
    <row r="576" spans="5:5" ht="15.75" customHeight="1">
      <c r="E576" s="2"/>
    </row>
    <row r="577" spans="5:5" ht="15.75" customHeight="1">
      <c r="E577" s="2"/>
    </row>
    <row r="578" spans="5:5" ht="15.75" customHeight="1">
      <c r="E578" s="2"/>
    </row>
    <row r="579" spans="5:5" ht="15.75" customHeight="1">
      <c r="E579" s="2"/>
    </row>
    <row r="580" spans="5:5" ht="15.75" customHeight="1">
      <c r="E580" s="2"/>
    </row>
    <row r="581" spans="5:5" ht="15.75" customHeight="1">
      <c r="E581" s="2"/>
    </row>
    <row r="582" spans="5:5" ht="15.75" customHeight="1">
      <c r="E582" s="2"/>
    </row>
    <row r="583" spans="5:5" ht="15.75" customHeight="1">
      <c r="E583" s="2"/>
    </row>
    <row r="584" spans="5:5" ht="15.75" customHeight="1">
      <c r="E584" s="2"/>
    </row>
    <row r="585" spans="5:5" ht="15.75" customHeight="1">
      <c r="E585" s="2"/>
    </row>
    <row r="586" spans="5:5" ht="15.75" customHeight="1">
      <c r="E586" s="2"/>
    </row>
    <row r="587" spans="5:5" ht="15.75" customHeight="1">
      <c r="E587" s="2"/>
    </row>
    <row r="588" spans="5:5" ht="15.75" customHeight="1">
      <c r="E588" s="2"/>
    </row>
    <row r="589" spans="5:5" ht="15.75" customHeight="1">
      <c r="E589" s="2"/>
    </row>
    <row r="590" spans="5:5" ht="15.75" customHeight="1">
      <c r="E590" s="2"/>
    </row>
    <row r="591" spans="5:5" ht="15.75" customHeight="1">
      <c r="E591" s="2"/>
    </row>
    <row r="592" spans="5:5" ht="15.75" customHeight="1">
      <c r="E592" s="2"/>
    </row>
    <row r="593" spans="5:5" ht="15.75" customHeight="1">
      <c r="E593" s="2"/>
    </row>
    <row r="594" spans="5:5" ht="15.75" customHeight="1">
      <c r="E594" s="2"/>
    </row>
    <row r="595" spans="5:5" ht="15.75" customHeight="1">
      <c r="E595" s="2"/>
    </row>
    <row r="596" spans="5:5" ht="15.75" customHeight="1">
      <c r="E596" s="2"/>
    </row>
    <row r="597" spans="5:5" ht="15.75" customHeight="1">
      <c r="E597" s="2"/>
    </row>
    <row r="598" spans="5:5" ht="15.75" customHeight="1">
      <c r="E598" s="2"/>
    </row>
    <row r="599" spans="5:5" ht="15.75" customHeight="1">
      <c r="E599" s="2"/>
    </row>
    <row r="600" spans="5:5" ht="15.75" customHeight="1">
      <c r="E600" s="2"/>
    </row>
    <row r="601" spans="5:5" ht="15.75" customHeight="1">
      <c r="E601" s="2"/>
    </row>
    <row r="602" spans="5:5" ht="15.75" customHeight="1">
      <c r="E602" s="2"/>
    </row>
    <row r="603" spans="5:5" ht="15.75" customHeight="1">
      <c r="E603" s="2"/>
    </row>
    <row r="604" spans="5:5" ht="15.75" customHeight="1">
      <c r="E604" s="2"/>
    </row>
    <row r="605" spans="5:5" ht="15.75" customHeight="1">
      <c r="E605" s="2"/>
    </row>
    <row r="606" spans="5:5" ht="15.75" customHeight="1">
      <c r="E606" s="2"/>
    </row>
    <row r="607" spans="5:5" ht="15.75" customHeight="1">
      <c r="E607" s="2"/>
    </row>
    <row r="608" spans="5:5" ht="15.75" customHeight="1">
      <c r="E608" s="2"/>
    </row>
    <row r="609" spans="5:5" ht="15.75" customHeight="1">
      <c r="E609" s="2"/>
    </row>
    <row r="610" spans="5:5" ht="15.75" customHeight="1">
      <c r="E610" s="2"/>
    </row>
    <row r="611" spans="5:5" ht="15.75" customHeight="1">
      <c r="E611" s="2"/>
    </row>
    <row r="612" spans="5:5" ht="15.75" customHeight="1">
      <c r="E612" s="2"/>
    </row>
    <row r="613" spans="5:5" ht="15.75" customHeight="1">
      <c r="E613" s="2"/>
    </row>
    <row r="614" spans="5:5" ht="15.75" customHeight="1">
      <c r="E614" s="2"/>
    </row>
    <row r="615" spans="5:5" ht="15.75" customHeight="1">
      <c r="E615" s="2"/>
    </row>
    <row r="616" spans="5:5" ht="15.75" customHeight="1">
      <c r="E616" s="2"/>
    </row>
    <row r="617" spans="5:5" ht="15.75" customHeight="1">
      <c r="E617" s="2"/>
    </row>
    <row r="618" spans="5:5" ht="15.75" customHeight="1">
      <c r="E618" s="2"/>
    </row>
    <row r="619" spans="5:5" ht="15.75" customHeight="1">
      <c r="E619" s="2"/>
    </row>
    <row r="620" spans="5:5" ht="15.75" customHeight="1">
      <c r="E620" s="2"/>
    </row>
    <row r="621" spans="5:5" ht="15.75" customHeight="1">
      <c r="E621" s="2"/>
    </row>
    <row r="622" spans="5:5" ht="15.75" customHeight="1">
      <c r="E622" s="2"/>
    </row>
    <row r="623" spans="5:5" ht="15.75" customHeight="1">
      <c r="E623" s="2"/>
    </row>
    <row r="624" spans="5:5" ht="15.75" customHeight="1">
      <c r="E624" s="2"/>
    </row>
    <row r="625" spans="5:5" ht="15.75" customHeight="1">
      <c r="E625" s="2"/>
    </row>
    <row r="626" spans="5:5" ht="15.75" customHeight="1">
      <c r="E626" s="2"/>
    </row>
    <row r="627" spans="5:5" ht="15.75" customHeight="1">
      <c r="E627" s="2"/>
    </row>
    <row r="628" spans="5:5" ht="15.75" customHeight="1">
      <c r="E628" s="2"/>
    </row>
    <row r="629" spans="5:5" ht="15.75" customHeight="1">
      <c r="E629" s="2"/>
    </row>
    <row r="630" spans="5:5" ht="15.75" customHeight="1">
      <c r="E630" s="2"/>
    </row>
    <row r="631" spans="5:5" ht="15.75" customHeight="1">
      <c r="E631" s="2"/>
    </row>
    <row r="632" spans="5:5" ht="15.75" customHeight="1">
      <c r="E632" s="2"/>
    </row>
    <row r="633" spans="5:5" ht="15.75" customHeight="1">
      <c r="E633" s="2"/>
    </row>
    <row r="634" spans="5:5" ht="15.75" customHeight="1">
      <c r="E634" s="2"/>
    </row>
    <row r="635" spans="5:5" ht="15.75" customHeight="1">
      <c r="E635" s="2"/>
    </row>
    <row r="636" spans="5:5" ht="15.75" customHeight="1">
      <c r="E636" s="2"/>
    </row>
    <row r="637" spans="5:5" ht="15.75" customHeight="1">
      <c r="E637" s="2"/>
    </row>
    <row r="638" spans="5:5" ht="15.75" customHeight="1">
      <c r="E638" s="2"/>
    </row>
    <row r="639" spans="5:5" ht="15.75" customHeight="1">
      <c r="E639" s="2"/>
    </row>
    <row r="640" spans="5:5" ht="15.75" customHeight="1">
      <c r="E640" s="2"/>
    </row>
    <row r="641" spans="5:5" ht="15.75" customHeight="1">
      <c r="E641" s="2"/>
    </row>
    <row r="642" spans="5:5" ht="15.75" customHeight="1">
      <c r="E642" s="2"/>
    </row>
    <row r="643" spans="5:5" ht="15.75" customHeight="1">
      <c r="E643" s="2"/>
    </row>
    <row r="644" spans="5:5" ht="15.75" customHeight="1">
      <c r="E644" s="2"/>
    </row>
    <row r="645" spans="5:5" ht="15.75" customHeight="1">
      <c r="E645" s="2"/>
    </row>
    <row r="646" spans="5:5" ht="15.75" customHeight="1">
      <c r="E646" s="2"/>
    </row>
    <row r="647" spans="5:5" ht="15.75" customHeight="1">
      <c r="E647" s="2"/>
    </row>
    <row r="648" spans="5:5" ht="15.75" customHeight="1">
      <c r="E648" s="2"/>
    </row>
    <row r="649" spans="5:5" ht="15.75" customHeight="1">
      <c r="E649" s="2"/>
    </row>
    <row r="650" spans="5:5" ht="15.75" customHeight="1">
      <c r="E650" s="2"/>
    </row>
    <row r="651" spans="5:5" ht="15.75" customHeight="1">
      <c r="E651" s="2"/>
    </row>
    <row r="652" spans="5:5" ht="15.75" customHeight="1">
      <c r="E652" s="2"/>
    </row>
    <row r="653" spans="5:5" ht="15.75" customHeight="1">
      <c r="E653" s="2"/>
    </row>
    <row r="654" spans="5:5" ht="15.75" customHeight="1">
      <c r="E654" s="2"/>
    </row>
    <row r="655" spans="5:5" ht="15.75" customHeight="1">
      <c r="E655" s="2"/>
    </row>
    <row r="656" spans="5:5" ht="15.75" customHeight="1">
      <c r="E656" s="2"/>
    </row>
    <row r="657" spans="5:5" ht="15.75" customHeight="1">
      <c r="E657" s="2"/>
    </row>
    <row r="658" spans="5:5" ht="15.75" customHeight="1">
      <c r="E658" s="2"/>
    </row>
    <row r="659" spans="5:5" ht="15.75" customHeight="1">
      <c r="E659" s="2"/>
    </row>
    <row r="660" spans="5:5" ht="15.75" customHeight="1">
      <c r="E660" s="2"/>
    </row>
    <row r="661" spans="5:5" ht="15.75" customHeight="1">
      <c r="E661" s="2"/>
    </row>
    <row r="662" spans="5:5" ht="15.75" customHeight="1">
      <c r="E662" s="2"/>
    </row>
    <row r="663" spans="5:5" ht="15.75" customHeight="1">
      <c r="E663" s="2"/>
    </row>
    <row r="664" spans="5:5" ht="15.75" customHeight="1">
      <c r="E664" s="2"/>
    </row>
    <row r="665" spans="5:5" ht="15.75" customHeight="1">
      <c r="E665" s="2"/>
    </row>
    <row r="666" spans="5:5" ht="15.75" customHeight="1">
      <c r="E666" s="2"/>
    </row>
    <row r="667" spans="5:5" ht="15.75" customHeight="1">
      <c r="E667" s="2"/>
    </row>
    <row r="668" spans="5:5" ht="15.75" customHeight="1">
      <c r="E668" s="2"/>
    </row>
    <row r="669" spans="5:5" ht="15.75" customHeight="1">
      <c r="E669" s="2"/>
    </row>
    <row r="670" spans="5:5" ht="15.75" customHeight="1">
      <c r="E670" s="2"/>
    </row>
    <row r="671" spans="5:5" ht="15.75" customHeight="1">
      <c r="E671" s="2"/>
    </row>
    <row r="672" spans="5:5" ht="15.75" customHeight="1">
      <c r="E672" s="2"/>
    </row>
    <row r="673" spans="5:5" ht="15.75" customHeight="1">
      <c r="E673" s="2"/>
    </row>
    <row r="674" spans="5:5" ht="15.75" customHeight="1">
      <c r="E674" s="2"/>
    </row>
    <row r="675" spans="5:5" ht="15.75" customHeight="1">
      <c r="E675" s="2"/>
    </row>
    <row r="676" spans="5:5" ht="15.75" customHeight="1">
      <c r="E676" s="2"/>
    </row>
    <row r="677" spans="5:5" ht="15.75" customHeight="1">
      <c r="E677" s="2"/>
    </row>
    <row r="678" spans="5:5" ht="15.75" customHeight="1">
      <c r="E678" s="2"/>
    </row>
    <row r="679" spans="5:5" ht="15.75" customHeight="1">
      <c r="E679" s="2"/>
    </row>
    <row r="680" spans="5:5" ht="15.75" customHeight="1">
      <c r="E680" s="2"/>
    </row>
    <row r="681" spans="5:5" ht="15.75" customHeight="1">
      <c r="E681" s="2"/>
    </row>
    <row r="682" spans="5:5" ht="15.75" customHeight="1">
      <c r="E682" s="2"/>
    </row>
    <row r="683" spans="5:5" ht="15.75" customHeight="1">
      <c r="E683" s="2"/>
    </row>
    <row r="684" spans="5:5" ht="15.75" customHeight="1">
      <c r="E684" s="2"/>
    </row>
    <row r="685" spans="5:5" ht="15.75" customHeight="1">
      <c r="E685" s="2"/>
    </row>
    <row r="686" spans="5:5" ht="15.75" customHeight="1">
      <c r="E686" s="2"/>
    </row>
    <row r="687" spans="5:5" ht="15.75" customHeight="1">
      <c r="E687" s="2"/>
    </row>
    <row r="688" spans="5:5" ht="15.75" customHeight="1">
      <c r="E688" s="2"/>
    </row>
    <row r="689" spans="5:5" ht="15.75" customHeight="1">
      <c r="E689" s="2"/>
    </row>
    <row r="690" spans="5:5" ht="15.75" customHeight="1">
      <c r="E690" s="2"/>
    </row>
    <row r="691" spans="5:5" ht="15.75" customHeight="1">
      <c r="E691" s="2"/>
    </row>
    <row r="692" spans="5:5" ht="15.75" customHeight="1">
      <c r="E692" s="2"/>
    </row>
    <row r="693" spans="5:5" ht="15.75" customHeight="1">
      <c r="E693" s="2"/>
    </row>
    <row r="694" spans="5:5" ht="15.75" customHeight="1">
      <c r="E694" s="2"/>
    </row>
    <row r="695" spans="5:5" ht="15.75" customHeight="1">
      <c r="E695" s="2"/>
    </row>
    <row r="696" spans="5:5" ht="15.75" customHeight="1">
      <c r="E696" s="2"/>
    </row>
    <row r="697" spans="5:5" ht="15.75" customHeight="1">
      <c r="E697" s="2"/>
    </row>
    <row r="698" spans="5:5" ht="15.75" customHeight="1">
      <c r="E698" s="2"/>
    </row>
    <row r="699" spans="5:5" ht="15.75" customHeight="1">
      <c r="E699" s="2"/>
    </row>
    <row r="700" spans="5:5" ht="15.75" customHeight="1">
      <c r="E700" s="2"/>
    </row>
    <row r="701" spans="5:5" ht="15.75" customHeight="1">
      <c r="E701" s="2"/>
    </row>
    <row r="702" spans="5:5" ht="15.75" customHeight="1">
      <c r="E702" s="2"/>
    </row>
    <row r="703" spans="5:5" ht="15.75" customHeight="1">
      <c r="E703" s="2"/>
    </row>
    <row r="704" spans="5:5" ht="15.75" customHeight="1">
      <c r="E704" s="2"/>
    </row>
    <row r="705" spans="5:5" ht="15.75" customHeight="1">
      <c r="E705" s="2"/>
    </row>
    <row r="706" spans="5:5" ht="15.75" customHeight="1">
      <c r="E706" s="2"/>
    </row>
    <row r="707" spans="5:5" ht="15.75" customHeight="1">
      <c r="E707" s="2"/>
    </row>
    <row r="708" spans="5:5" ht="15.75" customHeight="1">
      <c r="E708" s="2"/>
    </row>
    <row r="709" spans="5:5" ht="15.75" customHeight="1">
      <c r="E709" s="2"/>
    </row>
    <row r="710" spans="5:5" ht="15.75" customHeight="1">
      <c r="E710" s="2"/>
    </row>
    <row r="711" spans="5:5" ht="15.75" customHeight="1">
      <c r="E711" s="2"/>
    </row>
    <row r="712" spans="5:5" ht="15.75" customHeight="1">
      <c r="E712" s="2"/>
    </row>
    <row r="713" spans="5:5" ht="15.75" customHeight="1">
      <c r="E713" s="2"/>
    </row>
    <row r="714" spans="5:5" ht="15.75" customHeight="1">
      <c r="E714" s="2"/>
    </row>
    <row r="715" spans="5:5" ht="15.75" customHeight="1">
      <c r="E715" s="2"/>
    </row>
    <row r="716" spans="5:5" ht="15.75" customHeight="1">
      <c r="E716" s="2"/>
    </row>
    <row r="717" spans="5:5" ht="15.75" customHeight="1">
      <c r="E717" s="2"/>
    </row>
    <row r="718" spans="5:5" ht="15.75" customHeight="1">
      <c r="E718" s="2"/>
    </row>
    <row r="719" spans="5:5" ht="15.75" customHeight="1">
      <c r="E719" s="2"/>
    </row>
    <row r="720" spans="5:5" ht="15.75" customHeight="1">
      <c r="E720" s="2"/>
    </row>
    <row r="721" spans="5:5" ht="15.75" customHeight="1">
      <c r="E721" s="2"/>
    </row>
    <row r="722" spans="5:5" ht="15.75" customHeight="1">
      <c r="E722" s="2"/>
    </row>
    <row r="723" spans="5:5" ht="15.75" customHeight="1">
      <c r="E723" s="2"/>
    </row>
    <row r="724" spans="5:5" ht="15.75" customHeight="1">
      <c r="E724" s="2"/>
    </row>
    <row r="725" spans="5:5" ht="15.75" customHeight="1">
      <c r="E725" s="2"/>
    </row>
    <row r="726" spans="5:5" ht="15.75" customHeight="1">
      <c r="E726" s="2"/>
    </row>
    <row r="727" spans="5:5" ht="15.75" customHeight="1">
      <c r="E727" s="2"/>
    </row>
    <row r="728" spans="5:5" ht="15.75" customHeight="1">
      <c r="E728" s="2"/>
    </row>
    <row r="729" spans="5:5" ht="15.75" customHeight="1">
      <c r="E729" s="2"/>
    </row>
    <row r="730" spans="5:5" ht="15.75" customHeight="1">
      <c r="E730" s="2"/>
    </row>
    <row r="731" spans="5:5" ht="15.75" customHeight="1">
      <c r="E731" s="2"/>
    </row>
    <row r="732" spans="5:5" ht="15.75" customHeight="1">
      <c r="E732" s="2"/>
    </row>
    <row r="733" spans="5:5" ht="15.75" customHeight="1">
      <c r="E733" s="2"/>
    </row>
    <row r="734" spans="5:5" ht="15.75" customHeight="1">
      <c r="E734" s="2"/>
    </row>
    <row r="735" spans="5:5" ht="15.75" customHeight="1">
      <c r="E735" s="2"/>
    </row>
    <row r="736" spans="5:5" ht="15.75" customHeight="1">
      <c r="E736" s="2"/>
    </row>
    <row r="737" spans="5:5" ht="15.75" customHeight="1">
      <c r="E737" s="2"/>
    </row>
    <row r="738" spans="5:5" ht="15.75" customHeight="1">
      <c r="E738" s="2"/>
    </row>
    <row r="739" spans="5:5" ht="15.75" customHeight="1">
      <c r="E739" s="2"/>
    </row>
    <row r="740" spans="5:5" ht="15.75" customHeight="1">
      <c r="E740" s="2"/>
    </row>
    <row r="741" spans="5:5" ht="15.75" customHeight="1">
      <c r="E741" s="2"/>
    </row>
    <row r="742" spans="5:5" ht="15.75" customHeight="1">
      <c r="E742" s="2"/>
    </row>
    <row r="743" spans="5:5" ht="15.75" customHeight="1">
      <c r="E743" s="2"/>
    </row>
    <row r="744" spans="5:5" ht="15.75" customHeight="1">
      <c r="E744" s="2"/>
    </row>
    <row r="745" spans="5:5" ht="15.75" customHeight="1">
      <c r="E745" s="2"/>
    </row>
    <row r="746" spans="5:5" ht="15.75" customHeight="1">
      <c r="E746" s="2"/>
    </row>
    <row r="747" spans="5:5" ht="15.75" customHeight="1">
      <c r="E747" s="2"/>
    </row>
    <row r="748" spans="5:5" ht="15.75" customHeight="1">
      <c r="E748" s="2"/>
    </row>
    <row r="749" spans="5:5" ht="15.75" customHeight="1">
      <c r="E749" s="2"/>
    </row>
    <row r="750" spans="5:5" ht="15.75" customHeight="1">
      <c r="E750" s="2"/>
    </row>
    <row r="751" spans="5:5" ht="15.75" customHeight="1">
      <c r="E751" s="2"/>
    </row>
    <row r="752" spans="5:5" ht="15.75" customHeight="1">
      <c r="E752" s="2"/>
    </row>
    <row r="753" spans="5:5" ht="15.75" customHeight="1">
      <c r="E753" s="2"/>
    </row>
    <row r="754" spans="5:5" ht="15.75" customHeight="1">
      <c r="E754" s="2"/>
    </row>
    <row r="755" spans="5:5" ht="15.75" customHeight="1">
      <c r="E755" s="2"/>
    </row>
    <row r="756" spans="5:5" ht="15.75" customHeight="1">
      <c r="E756" s="2"/>
    </row>
    <row r="757" spans="5:5" ht="15.75" customHeight="1">
      <c r="E757" s="2"/>
    </row>
    <row r="758" spans="5:5" ht="15.75" customHeight="1">
      <c r="E758" s="2"/>
    </row>
    <row r="759" spans="5:5" ht="15.75" customHeight="1">
      <c r="E759" s="2"/>
    </row>
    <row r="760" spans="5:5" ht="15.75" customHeight="1">
      <c r="E760" s="2"/>
    </row>
    <row r="761" spans="5:5" ht="15.75" customHeight="1">
      <c r="E761" s="2"/>
    </row>
    <row r="762" spans="5:5" ht="15.75" customHeight="1">
      <c r="E762" s="2"/>
    </row>
    <row r="763" spans="5:5" ht="15.75" customHeight="1">
      <c r="E763" s="2"/>
    </row>
    <row r="764" spans="5:5" ht="15.75" customHeight="1">
      <c r="E764" s="2"/>
    </row>
    <row r="765" spans="5:5" ht="15.75" customHeight="1">
      <c r="E765" s="2"/>
    </row>
    <row r="766" spans="5:5" ht="15.75" customHeight="1">
      <c r="E766" s="2"/>
    </row>
    <row r="767" spans="5:5" ht="15.75" customHeight="1">
      <c r="E767" s="2"/>
    </row>
    <row r="768" spans="5:5" ht="15.75" customHeight="1">
      <c r="E768" s="2"/>
    </row>
    <row r="769" spans="5:5" ht="15.75" customHeight="1">
      <c r="E769" s="2"/>
    </row>
    <row r="770" spans="5:5" ht="15.75" customHeight="1">
      <c r="E770" s="2"/>
    </row>
    <row r="771" spans="5:5" ht="15.75" customHeight="1">
      <c r="E771" s="2"/>
    </row>
    <row r="772" spans="5:5" ht="15.75" customHeight="1">
      <c r="E772" s="2"/>
    </row>
    <row r="773" spans="5:5" ht="15.75" customHeight="1">
      <c r="E773" s="2"/>
    </row>
    <row r="774" spans="5:5" ht="15.75" customHeight="1">
      <c r="E774" s="2"/>
    </row>
    <row r="775" spans="5:5" ht="15.75" customHeight="1">
      <c r="E775" s="2"/>
    </row>
    <row r="776" spans="5:5" ht="15.75" customHeight="1">
      <c r="E776" s="2"/>
    </row>
    <row r="777" spans="5:5" ht="15.75" customHeight="1">
      <c r="E777" s="2"/>
    </row>
    <row r="778" spans="5:5" ht="15.75" customHeight="1">
      <c r="E778" s="2"/>
    </row>
    <row r="779" spans="5:5" ht="15.75" customHeight="1">
      <c r="E779" s="2"/>
    </row>
    <row r="780" spans="5:5" ht="15.75" customHeight="1">
      <c r="E780" s="2"/>
    </row>
    <row r="781" spans="5:5" ht="15.75" customHeight="1">
      <c r="E781" s="2"/>
    </row>
    <row r="782" spans="5:5" ht="15.75" customHeight="1">
      <c r="E782" s="2"/>
    </row>
    <row r="783" spans="5:5" ht="15.75" customHeight="1">
      <c r="E783" s="2"/>
    </row>
    <row r="784" spans="5:5" ht="15.75" customHeight="1">
      <c r="E784" s="2"/>
    </row>
    <row r="785" spans="5:5" ht="15.75" customHeight="1">
      <c r="E785" s="2"/>
    </row>
    <row r="786" spans="5:5" ht="15.75" customHeight="1">
      <c r="E786" s="2"/>
    </row>
    <row r="787" spans="5:5" ht="15.75" customHeight="1">
      <c r="E787" s="2"/>
    </row>
    <row r="788" spans="5:5" ht="15.75" customHeight="1">
      <c r="E788" s="2"/>
    </row>
    <row r="789" spans="5:5" ht="15.75" customHeight="1">
      <c r="E789" s="2"/>
    </row>
    <row r="790" spans="5:5" ht="15.75" customHeight="1">
      <c r="E790" s="2"/>
    </row>
    <row r="791" spans="5:5" ht="15.75" customHeight="1">
      <c r="E791" s="2"/>
    </row>
    <row r="792" spans="5:5" ht="15.75" customHeight="1">
      <c r="E792" s="2"/>
    </row>
    <row r="793" spans="5:5" ht="15.75" customHeight="1">
      <c r="E793" s="2"/>
    </row>
    <row r="794" spans="5:5" ht="15.75" customHeight="1">
      <c r="E794" s="2"/>
    </row>
    <row r="795" spans="5:5" ht="15.75" customHeight="1">
      <c r="E795" s="2"/>
    </row>
    <row r="796" spans="5:5" ht="15.75" customHeight="1">
      <c r="E796" s="2"/>
    </row>
    <row r="797" spans="5:5" ht="15.75" customHeight="1">
      <c r="E797" s="2"/>
    </row>
    <row r="798" spans="5:5" ht="15.75" customHeight="1">
      <c r="E798" s="2"/>
    </row>
    <row r="799" spans="5:5" ht="15.75" customHeight="1">
      <c r="E799" s="2"/>
    </row>
    <row r="800" spans="5:5" ht="15.75" customHeight="1">
      <c r="E800" s="2"/>
    </row>
    <row r="801" spans="5:5" ht="15.75" customHeight="1">
      <c r="E801" s="2"/>
    </row>
    <row r="802" spans="5:5" ht="15.75" customHeight="1">
      <c r="E802" s="2"/>
    </row>
    <row r="803" spans="5:5" ht="15.75" customHeight="1">
      <c r="E803" s="2"/>
    </row>
    <row r="804" spans="5:5" ht="15.75" customHeight="1">
      <c r="E804" s="2"/>
    </row>
    <row r="805" spans="5:5" ht="15.75" customHeight="1">
      <c r="E805" s="2"/>
    </row>
    <row r="806" spans="5:5" ht="15.75" customHeight="1">
      <c r="E806" s="2"/>
    </row>
    <row r="807" spans="5:5" ht="15.75" customHeight="1">
      <c r="E807" s="2"/>
    </row>
    <row r="808" spans="5:5" ht="15.75" customHeight="1">
      <c r="E808" s="2"/>
    </row>
    <row r="809" spans="5:5" ht="15.75" customHeight="1">
      <c r="E809" s="2"/>
    </row>
    <row r="810" spans="5:5" ht="15.75" customHeight="1">
      <c r="E810" s="2"/>
    </row>
    <row r="811" spans="5:5" ht="15.75" customHeight="1">
      <c r="E811" s="2"/>
    </row>
    <row r="812" spans="5:5" ht="15.75" customHeight="1">
      <c r="E812" s="2"/>
    </row>
    <row r="813" spans="5:5" ht="15.75" customHeight="1">
      <c r="E813" s="2"/>
    </row>
    <row r="814" spans="5:5" ht="15.75" customHeight="1">
      <c r="E814" s="2"/>
    </row>
    <row r="815" spans="5:5" ht="15.75" customHeight="1">
      <c r="E815" s="2"/>
    </row>
    <row r="816" spans="5:5" ht="15.75" customHeight="1">
      <c r="E816" s="2"/>
    </row>
    <row r="817" spans="5:5" ht="15.75" customHeight="1">
      <c r="E817" s="2"/>
    </row>
    <row r="818" spans="5:5" ht="15.75" customHeight="1">
      <c r="E818" s="2"/>
    </row>
    <row r="819" spans="5:5" ht="15.75" customHeight="1">
      <c r="E819" s="2"/>
    </row>
    <row r="820" spans="5:5" ht="15.75" customHeight="1">
      <c r="E820" s="2"/>
    </row>
    <row r="821" spans="5:5" ht="15.75" customHeight="1">
      <c r="E821" s="2"/>
    </row>
    <row r="822" spans="5:5" ht="15.75" customHeight="1">
      <c r="E822" s="2"/>
    </row>
    <row r="823" spans="5:5" ht="15.75" customHeight="1">
      <c r="E823" s="2"/>
    </row>
    <row r="824" spans="5:5" ht="15.75" customHeight="1">
      <c r="E824" s="2"/>
    </row>
    <row r="825" spans="5:5" ht="15.75" customHeight="1">
      <c r="E825" s="2"/>
    </row>
    <row r="826" spans="5:5" ht="15.75" customHeight="1">
      <c r="E826" s="2"/>
    </row>
    <row r="827" spans="5:5" ht="15.75" customHeight="1">
      <c r="E827" s="2"/>
    </row>
    <row r="828" spans="5:5" ht="15.75" customHeight="1">
      <c r="E828" s="2"/>
    </row>
    <row r="829" spans="5:5" ht="15.75" customHeight="1">
      <c r="E829" s="2"/>
    </row>
    <row r="830" spans="5:5" ht="15.75" customHeight="1">
      <c r="E830" s="2"/>
    </row>
    <row r="831" spans="5:5" ht="15.75" customHeight="1">
      <c r="E831" s="2"/>
    </row>
    <row r="832" spans="5:5" ht="15.75" customHeight="1">
      <c r="E832" s="2"/>
    </row>
    <row r="833" spans="5:5" ht="15.75" customHeight="1">
      <c r="E833" s="2"/>
    </row>
    <row r="834" spans="5:5" ht="15.75" customHeight="1">
      <c r="E834" s="2"/>
    </row>
    <row r="835" spans="5:5" ht="15.75" customHeight="1">
      <c r="E835" s="2"/>
    </row>
    <row r="836" spans="5:5" ht="15.75" customHeight="1">
      <c r="E836" s="2"/>
    </row>
    <row r="837" spans="5:5" ht="15.75" customHeight="1">
      <c r="E837" s="2"/>
    </row>
    <row r="838" spans="5:5" ht="15.75" customHeight="1">
      <c r="E838" s="2"/>
    </row>
    <row r="839" spans="5:5" ht="15.75" customHeight="1">
      <c r="E839" s="2"/>
    </row>
    <row r="840" spans="5:5" ht="15.75" customHeight="1">
      <c r="E840" s="2"/>
    </row>
    <row r="841" spans="5:5" ht="15.75" customHeight="1">
      <c r="E841" s="2"/>
    </row>
    <row r="842" spans="5:5" ht="15.75" customHeight="1">
      <c r="E842" s="2"/>
    </row>
    <row r="843" spans="5:5" ht="15.75" customHeight="1">
      <c r="E843" s="2"/>
    </row>
    <row r="844" spans="5:5" ht="15.75" customHeight="1">
      <c r="E844" s="2"/>
    </row>
    <row r="845" spans="5:5" ht="15.75" customHeight="1">
      <c r="E845" s="2"/>
    </row>
    <row r="846" spans="5:5" ht="15.75" customHeight="1">
      <c r="E846" s="2"/>
    </row>
    <row r="847" spans="5:5" ht="15.75" customHeight="1">
      <c r="E847" s="2"/>
    </row>
    <row r="848" spans="5:5" ht="15.75" customHeight="1">
      <c r="E848" s="2"/>
    </row>
    <row r="849" spans="5:5" ht="15.75" customHeight="1">
      <c r="E849" s="2"/>
    </row>
    <row r="850" spans="5:5" ht="15.75" customHeight="1">
      <c r="E850" s="2"/>
    </row>
    <row r="851" spans="5:5" ht="15.75" customHeight="1">
      <c r="E851" s="2"/>
    </row>
    <row r="852" spans="5:5" ht="15.75" customHeight="1">
      <c r="E852" s="2"/>
    </row>
    <row r="853" spans="5:5" ht="15.75" customHeight="1">
      <c r="E853" s="2"/>
    </row>
    <row r="854" spans="5:5" ht="15.75" customHeight="1">
      <c r="E854" s="2"/>
    </row>
    <row r="855" spans="5:5" ht="15.75" customHeight="1">
      <c r="E855" s="2"/>
    </row>
    <row r="856" spans="5:5" ht="15.75" customHeight="1">
      <c r="E856" s="2"/>
    </row>
    <row r="857" spans="5:5" ht="15.75" customHeight="1">
      <c r="E857" s="2"/>
    </row>
    <row r="858" spans="5:5" ht="15.75" customHeight="1">
      <c r="E858" s="2"/>
    </row>
    <row r="859" spans="5:5" ht="15.75" customHeight="1">
      <c r="E859" s="2"/>
    </row>
    <row r="860" spans="5:5" ht="15.75" customHeight="1">
      <c r="E860" s="2"/>
    </row>
    <row r="861" spans="5:5" ht="15.75" customHeight="1">
      <c r="E861" s="2"/>
    </row>
    <row r="862" spans="5:5" ht="15.75" customHeight="1">
      <c r="E862" s="2"/>
    </row>
    <row r="863" spans="5:5" ht="15.75" customHeight="1">
      <c r="E863" s="2"/>
    </row>
    <row r="864" spans="5:5" ht="15.75" customHeight="1">
      <c r="E864" s="2"/>
    </row>
    <row r="865" spans="5:5" ht="15.75" customHeight="1">
      <c r="E865" s="2"/>
    </row>
    <row r="866" spans="5:5" ht="15.75" customHeight="1">
      <c r="E866" s="2"/>
    </row>
    <row r="867" spans="5:5" ht="15.75" customHeight="1">
      <c r="E867" s="2"/>
    </row>
    <row r="868" spans="5:5" ht="15.75" customHeight="1">
      <c r="E868" s="2"/>
    </row>
    <row r="869" spans="5:5" ht="15.75" customHeight="1">
      <c r="E869" s="2"/>
    </row>
    <row r="870" spans="5:5" ht="15.75" customHeight="1">
      <c r="E870" s="2"/>
    </row>
    <row r="871" spans="5:5" ht="15.75" customHeight="1">
      <c r="E871" s="2"/>
    </row>
    <row r="872" spans="5:5" ht="15.75" customHeight="1">
      <c r="E872" s="2"/>
    </row>
    <row r="873" spans="5:5" ht="15.75" customHeight="1">
      <c r="E873" s="2"/>
    </row>
    <row r="874" spans="5:5" ht="15.75" customHeight="1">
      <c r="E874" s="2"/>
    </row>
    <row r="875" spans="5:5" ht="15.75" customHeight="1">
      <c r="E875" s="2"/>
    </row>
    <row r="876" spans="5:5" ht="15.75" customHeight="1">
      <c r="E876" s="2"/>
    </row>
    <row r="877" spans="5:5" ht="15.75" customHeight="1">
      <c r="E877" s="2"/>
    </row>
    <row r="878" spans="5:5" ht="15.75" customHeight="1">
      <c r="E878" s="2"/>
    </row>
    <row r="879" spans="5:5" ht="15.75" customHeight="1">
      <c r="E879" s="2"/>
    </row>
    <row r="880" spans="5:5" ht="15.75" customHeight="1">
      <c r="E880" s="2"/>
    </row>
    <row r="881" spans="5:5" ht="15.75" customHeight="1">
      <c r="E881" s="2"/>
    </row>
    <row r="882" spans="5:5" ht="15.75" customHeight="1">
      <c r="E882" s="2"/>
    </row>
    <row r="883" spans="5:5" ht="15.75" customHeight="1">
      <c r="E883" s="2"/>
    </row>
    <row r="884" spans="5:5" ht="15.75" customHeight="1">
      <c r="E884" s="2"/>
    </row>
    <row r="885" spans="5:5" ht="15.75" customHeight="1">
      <c r="E885" s="2"/>
    </row>
    <row r="886" spans="5:5" ht="15.75" customHeight="1">
      <c r="E886" s="2"/>
    </row>
    <row r="887" spans="5:5" ht="15.75" customHeight="1">
      <c r="E887" s="2"/>
    </row>
    <row r="888" spans="5:5" ht="15.75" customHeight="1">
      <c r="E888" s="2"/>
    </row>
    <row r="889" spans="5:5" ht="15.75" customHeight="1">
      <c r="E889" s="2"/>
    </row>
    <row r="890" spans="5:5" ht="15.75" customHeight="1">
      <c r="E890" s="2"/>
    </row>
    <row r="891" spans="5:5" ht="15.75" customHeight="1">
      <c r="E891" s="2"/>
    </row>
    <row r="892" spans="5:5" ht="15.75" customHeight="1">
      <c r="E892" s="2"/>
    </row>
    <row r="893" spans="5:5" ht="15.75" customHeight="1">
      <c r="E893" s="2"/>
    </row>
    <row r="894" spans="5:5" ht="15.75" customHeight="1">
      <c r="E894" s="2"/>
    </row>
    <row r="895" spans="5:5" ht="15.75" customHeight="1">
      <c r="E895" s="2"/>
    </row>
    <row r="896" spans="5:5" ht="15.75" customHeight="1">
      <c r="E896" s="2"/>
    </row>
    <row r="897" spans="5:5" ht="15.75" customHeight="1">
      <c r="E897" s="2"/>
    </row>
    <row r="898" spans="5:5" ht="15.75" customHeight="1">
      <c r="E898" s="2"/>
    </row>
    <row r="899" spans="5:5" ht="15.75" customHeight="1">
      <c r="E899" s="2"/>
    </row>
    <row r="900" spans="5:5" ht="15.75" customHeight="1">
      <c r="E900" s="2"/>
    </row>
    <row r="901" spans="5:5" ht="15.75" customHeight="1">
      <c r="E901" s="2"/>
    </row>
    <row r="902" spans="5:5" ht="15.75" customHeight="1">
      <c r="E902" s="2"/>
    </row>
    <row r="903" spans="5:5" ht="15.75" customHeight="1">
      <c r="E903" s="2"/>
    </row>
    <row r="904" spans="5:5" ht="15.75" customHeight="1">
      <c r="E904" s="2"/>
    </row>
    <row r="905" spans="5:5" ht="15.75" customHeight="1">
      <c r="E905" s="2"/>
    </row>
    <row r="906" spans="5:5" ht="15.75" customHeight="1">
      <c r="E906" s="2"/>
    </row>
    <row r="907" spans="5:5" ht="15.75" customHeight="1">
      <c r="E907" s="2"/>
    </row>
    <row r="908" spans="5:5" ht="15.75" customHeight="1">
      <c r="E908" s="2"/>
    </row>
    <row r="909" spans="5:5" ht="15.75" customHeight="1">
      <c r="E909" s="2"/>
    </row>
    <row r="910" spans="5:5" ht="15.75" customHeight="1">
      <c r="E910" s="2"/>
    </row>
    <row r="911" spans="5:5" ht="15.75" customHeight="1">
      <c r="E911" s="2"/>
    </row>
    <row r="912" spans="5:5" ht="15.75" customHeight="1">
      <c r="E912" s="2"/>
    </row>
    <row r="913" spans="5:5" ht="15.75" customHeight="1">
      <c r="E913" s="2"/>
    </row>
    <row r="914" spans="5:5" ht="15.75" customHeight="1">
      <c r="E914" s="2"/>
    </row>
    <row r="915" spans="5:5" ht="15.75" customHeight="1">
      <c r="E915" s="2"/>
    </row>
    <row r="916" spans="5:5" ht="15.75" customHeight="1">
      <c r="E916" s="2"/>
    </row>
    <row r="917" spans="5:5" ht="15.75" customHeight="1">
      <c r="E917" s="2"/>
    </row>
    <row r="918" spans="5:5" ht="15.75" customHeight="1">
      <c r="E918" s="2"/>
    </row>
    <row r="919" spans="5:5" ht="15.75" customHeight="1">
      <c r="E919" s="2"/>
    </row>
    <row r="920" spans="5:5" ht="15.75" customHeight="1">
      <c r="E920" s="2"/>
    </row>
    <row r="921" spans="5:5" ht="15.75" customHeight="1">
      <c r="E921" s="2"/>
    </row>
    <row r="922" spans="5:5" ht="15.75" customHeight="1">
      <c r="E922" s="2"/>
    </row>
    <row r="923" spans="5:5" ht="15.75" customHeight="1">
      <c r="E923" s="2"/>
    </row>
    <row r="924" spans="5:5" ht="15.75" customHeight="1">
      <c r="E924" s="2"/>
    </row>
    <row r="925" spans="5:5" ht="15.75" customHeight="1">
      <c r="E925" s="2"/>
    </row>
    <row r="926" spans="5:5" ht="15.75" customHeight="1">
      <c r="E926" s="2"/>
    </row>
    <row r="927" spans="5:5" ht="15.75" customHeight="1">
      <c r="E927" s="2"/>
    </row>
    <row r="928" spans="5:5" ht="15.75" customHeight="1">
      <c r="E928" s="2"/>
    </row>
    <row r="929" spans="5:5" ht="15.75" customHeight="1">
      <c r="E929" s="2"/>
    </row>
    <row r="930" spans="5:5" ht="15.75" customHeight="1">
      <c r="E930" s="2"/>
    </row>
    <row r="931" spans="5:5" ht="15.75" customHeight="1">
      <c r="E931" s="2"/>
    </row>
    <row r="932" spans="5:5" ht="15.75" customHeight="1">
      <c r="E932" s="2"/>
    </row>
    <row r="933" spans="5:5" ht="15.75" customHeight="1">
      <c r="E933" s="2"/>
    </row>
    <row r="934" spans="5:5" ht="15.75" customHeight="1">
      <c r="E934" s="2"/>
    </row>
    <row r="935" spans="5:5" ht="15.75" customHeight="1">
      <c r="E935" s="2"/>
    </row>
    <row r="936" spans="5:5" ht="15.75" customHeight="1">
      <c r="E936" s="2"/>
    </row>
    <row r="937" spans="5:5" ht="15.75" customHeight="1">
      <c r="E937" s="2"/>
    </row>
    <row r="938" spans="5:5" ht="15.75" customHeight="1">
      <c r="E938" s="2"/>
    </row>
    <row r="939" spans="5:5" ht="15.75" customHeight="1">
      <c r="E939" s="2"/>
    </row>
    <row r="940" spans="5:5" ht="15.75" customHeight="1">
      <c r="E940" s="2"/>
    </row>
    <row r="941" spans="5:5" ht="15.75" customHeight="1">
      <c r="E941" s="2"/>
    </row>
    <row r="942" spans="5:5" ht="15.75" customHeight="1">
      <c r="E942" s="2"/>
    </row>
    <row r="943" spans="5:5" ht="15.75" customHeight="1">
      <c r="E943" s="2"/>
    </row>
    <row r="944" spans="5:5" ht="15.75" customHeight="1">
      <c r="E944" s="2"/>
    </row>
    <row r="945" spans="5:5" ht="15.75" customHeight="1">
      <c r="E945" s="2"/>
    </row>
    <row r="946" spans="5:5" ht="15.75" customHeight="1">
      <c r="E946" s="2"/>
    </row>
    <row r="947" spans="5:5" ht="15.75" customHeight="1">
      <c r="E947" s="2"/>
    </row>
    <row r="948" spans="5:5" ht="15.75" customHeight="1">
      <c r="E948" s="2"/>
    </row>
    <row r="949" spans="5:5" ht="15.75" customHeight="1">
      <c r="E949" s="2"/>
    </row>
    <row r="950" spans="5:5" ht="15.75" customHeight="1">
      <c r="E950" s="2"/>
    </row>
    <row r="951" spans="5:5" ht="15.75" customHeight="1">
      <c r="E951" s="2"/>
    </row>
    <row r="952" spans="5:5" ht="15.75" customHeight="1">
      <c r="E952" s="2"/>
    </row>
    <row r="953" spans="5:5" ht="15.75" customHeight="1">
      <c r="E953" s="2"/>
    </row>
    <row r="954" spans="5:5" ht="15.75" customHeight="1">
      <c r="E954" s="2"/>
    </row>
    <row r="955" spans="5:5" ht="15.75" customHeight="1">
      <c r="E955" s="2"/>
    </row>
    <row r="956" spans="5:5" ht="15.75" customHeight="1">
      <c r="E956" s="2"/>
    </row>
    <row r="957" spans="5:5" ht="15.75" customHeight="1">
      <c r="E957" s="2"/>
    </row>
    <row r="958" spans="5:5" ht="15.75" customHeight="1">
      <c r="E958" s="2"/>
    </row>
    <row r="959" spans="5:5" ht="15.75" customHeight="1">
      <c r="E959" s="2"/>
    </row>
    <row r="960" spans="5:5" ht="15.75" customHeight="1">
      <c r="E960" s="2"/>
    </row>
    <row r="961" spans="5:5" ht="15.75" customHeight="1">
      <c r="E961" s="2"/>
    </row>
    <row r="962" spans="5:5" ht="15.75" customHeight="1">
      <c r="E962" s="2"/>
    </row>
    <row r="963" spans="5:5" ht="15.75" customHeight="1">
      <c r="E963" s="2"/>
    </row>
    <row r="964" spans="5:5" ht="15.75" customHeight="1">
      <c r="E964" s="2"/>
    </row>
    <row r="965" spans="5:5" ht="15.75" customHeight="1">
      <c r="E965" s="2"/>
    </row>
    <row r="966" spans="5:5" ht="15.75" customHeight="1">
      <c r="E966" s="2"/>
    </row>
    <row r="967" spans="5:5" ht="15.75" customHeight="1">
      <c r="E967" s="2"/>
    </row>
    <row r="968" spans="5:5" ht="15.75" customHeight="1">
      <c r="E968" s="2"/>
    </row>
    <row r="969" spans="5:5" ht="15.75" customHeight="1">
      <c r="E969" s="2"/>
    </row>
    <row r="970" spans="5:5" ht="15.75" customHeight="1">
      <c r="E970" s="2"/>
    </row>
    <row r="971" spans="5:5" ht="15.75" customHeight="1">
      <c r="E971" s="2"/>
    </row>
    <row r="972" spans="5:5" ht="15.75" customHeight="1">
      <c r="E972" s="2"/>
    </row>
    <row r="973" spans="5:5" ht="15.75" customHeight="1">
      <c r="E973" s="2"/>
    </row>
    <row r="974" spans="5:5" ht="15.75" customHeight="1">
      <c r="E974" s="2"/>
    </row>
    <row r="975" spans="5:5" ht="15.75" customHeight="1">
      <c r="E975" s="2"/>
    </row>
    <row r="976" spans="5:5" ht="15.75" customHeight="1">
      <c r="E976" s="2"/>
    </row>
    <row r="977" spans="5:5" ht="15.75" customHeight="1">
      <c r="E977" s="2"/>
    </row>
    <row r="978" spans="5:5" ht="15.75" customHeight="1">
      <c r="E978" s="2"/>
    </row>
    <row r="979" spans="5:5" ht="15.75" customHeight="1">
      <c r="E979" s="2"/>
    </row>
    <row r="980" spans="5:5" ht="15.75" customHeight="1">
      <c r="E980" s="2"/>
    </row>
    <row r="981" spans="5:5" ht="15.75" customHeight="1">
      <c r="E981" s="2"/>
    </row>
    <row r="982" spans="5:5" ht="15.75" customHeight="1">
      <c r="E982" s="2"/>
    </row>
    <row r="983" spans="5:5" ht="15.75" customHeight="1">
      <c r="E983" s="2"/>
    </row>
    <row r="984" spans="5:5" ht="15.75" customHeight="1">
      <c r="E984" s="2"/>
    </row>
    <row r="985" spans="5:5" ht="15.75" customHeight="1">
      <c r="E985" s="2"/>
    </row>
    <row r="986" spans="5:5" ht="15.75" customHeight="1">
      <c r="E986" s="2"/>
    </row>
    <row r="987" spans="5:5" ht="15.75" customHeight="1">
      <c r="E987" s="2"/>
    </row>
    <row r="988" spans="5:5" ht="15.75" customHeight="1">
      <c r="E988" s="2"/>
    </row>
    <row r="989" spans="5:5" ht="15.75" customHeight="1">
      <c r="E989" s="2"/>
    </row>
    <row r="990" spans="5:5" ht="15.75" customHeight="1">
      <c r="E990" s="2"/>
    </row>
    <row r="991" spans="5:5" ht="15.75" customHeight="1">
      <c r="E991" s="2"/>
    </row>
    <row r="992" spans="5:5" ht="15.75" customHeight="1">
      <c r="E992" s="2"/>
    </row>
    <row r="993" spans="5:5" ht="15.75" customHeight="1">
      <c r="E993" s="2"/>
    </row>
    <row r="994" spans="5:5" ht="15.75" customHeight="1">
      <c r="E994" s="2"/>
    </row>
    <row r="995" spans="5:5" ht="15.75" customHeight="1">
      <c r="E995" s="2"/>
    </row>
    <row r="996" spans="5:5" ht="15.75" customHeight="1">
      <c r="E996" s="2"/>
    </row>
    <row r="997" spans="5:5" ht="15.75" customHeight="1">
      <c r="E997" s="2"/>
    </row>
    <row r="998" spans="5:5" ht="15.75" customHeight="1">
      <c r="E998" s="2"/>
    </row>
    <row r="999" spans="5:5" ht="15.75" customHeight="1">
      <c r="E999" s="2"/>
    </row>
    <row r="1000" spans="5:5" ht="15.75" customHeight="1">
      <c r="E1000" s="2"/>
    </row>
  </sheetData>
  <hyperlinks>
    <hyperlink ref="A1" r:id="rId1" xr:uid="{00000000-0004-0000-0000-000000000000}"/>
    <hyperlink ref="D4" r:id="rId2" xr:uid="{00000000-0004-0000-0000-000001000000}"/>
    <hyperlink ref="D5" r:id="rId3" xr:uid="{00000000-0004-0000-0000-000002000000}"/>
    <hyperlink ref="D6" r:id="rId4" xr:uid="{00000000-0004-0000-0000-000003000000}"/>
    <hyperlink ref="D7" r:id="rId5" xr:uid="{00000000-0004-0000-0000-000004000000}"/>
    <hyperlink ref="D8" r:id="rId6" xr:uid="{00000000-0004-0000-0000-000005000000}"/>
    <hyperlink ref="D9" r:id="rId7" xr:uid="{00000000-0004-0000-0000-000006000000}"/>
    <hyperlink ref="D10" r:id="rId8" xr:uid="{00000000-0004-0000-0000-000007000000}"/>
    <hyperlink ref="D11" r:id="rId9" xr:uid="{00000000-0004-0000-0000-000008000000}"/>
    <hyperlink ref="D12" r:id="rId10" xr:uid="{00000000-0004-0000-0000-000009000000}"/>
    <hyperlink ref="D13" r:id="rId11" xr:uid="{00000000-0004-0000-0000-00000A000000}"/>
    <hyperlink ref="D14" r:id="rId12" xr:uid="{00000000-0004-0000-0000-00000B000000}"/>
    <hyperlink ref="D15" r:id="rId13" xr:uid="{00000000-0004-0000-0000-00000C000000}"/>
    <hyperlink ref="D16" r:id="rId14" xr:uid="{00000000-0004-0000-0000-00000D000000}"/>
    <hyperlink ref="D17" r:id="rId15" xr:uid="{00000000-0004-0000-0000-00000E000000}"/>
    <hyperlink ref="D18" r:id="rId16" xr:uid="{00000000-0004-0000-0000-00000F000000}"/>
    <hyperlink ref="D19" r:id="rId17" xr:uid="{00000000-0004-0000-0000-000010000000}"/>
    <hyperlink ref="D20" r:id="rId18" xr:uid="{00000000-0004-0000-0000-000011000000}"/>
    <hyperlink ref="D21" r:id="rId19" xr:uid="{00000000-0004-0000-0000-000012000000}"/>
    <hyperlink ref="D22" r:id="rId20" xr:uid="{00000000-0004-0000-0000-000013000000}"/>
    <hyperlink ref="D23" r:id="rId21" xr:uid="{00000000-0004-0000-0000-000014000000}"/>
    <hyperlink ref="D24" r:id="rId22" xr:uid="{00000000-0004-0000-0000-000015000000}"/>
    <hyperlink ref="D25" r:id="rId23" xr:uid="{00000000-0004-0000-0000-000016000000}"/>
    <hyperlink ref="D26" r:id="rId24" xr:uid="{00000000-0004-0000-0000-000017000000}"/>
    <hyperlink ref="D27" r:id="rId25" xr:uid="{00000000-0004-0000-0000-000018000000}"/>
    <hyperlink ref="D28" r:id="rId26" xr:uid="{00000000-0004-0000-0000-000019000000}"/>
    <hyperlink ref="D29" r:id="rId27" xr:uid="{00000000-0004-0000-0000-00001A000000}"/>
    <hyperlink ref="D30" r:id="rId28" xr:uid="{00000000-0004-0000-0000-00001B000000}"/>
    <hyperlink ref="D31" r:id="rId29" xr:uid="{00000000-0004-0000-0000-00001C000000}"/>
    <hyperlink ref="D32" r:id="rId30" xr:uid="{00000000-0004-0000-0000-00001D000000}"/>
    <hyperlink ref="D33" r:id="rId31" xr:uid="{00000000-0004-0000-0000-00001E000000}"/>
    <hyperlink ref="D34" r:id="rId32" xr:uid="{00000000-0004-0000-0000-00001F000000}"/>
    <hyperlink ref="D35" r:id="rId33" xr:uid="{00000000-0004-0000-0000-000020000000}"/>
    <hyperlink ref="D36" r:id="rId34" xr:uid="{00000000-0004-0000-0000-000021000000}"/>
  </hyperlinks>
  <pageMargins left="0.7" right="0.7" top="0.75" bottom="0.75" header="0" footer="0"/>
  <pageSetup orientation="landscape"/>
  <tableParts count="1">
    <tablePart r:id="rId3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000"/>
  <sheetViews>
    <sheetView topLeftCell="A29" workbookViewId="0">
      <selection activeCell="D4" sqref="D4:E36"/>
    </sheetView>
  </sheetViews>
  <sheetFormatPr defaultColWidth="12.5703125" defaultRowHeight="15" customHeight="1"/>
  <cols>
    <col min="1" max="2" width="12.5703125" customWidth="1"/>
    <col min="3" max="3" width="38.5703125" customWidth="1"/>
    <col min="4" max="6" width="12.5703125" customWidth="1"/>
  </cols>
  <sheetData>
    <row r="1" spans="1:6" ht="15.75" customHeight="1">
      <c r="A1" s="4" t="s">
        <v>131</v>
      </c>
    </row>
    <row r="2" spans="1:6" ht="15.75" customHeight="1"/>
    <row r="3" spans="1:6" ht="15.75" customHeight="1">
      <c r="A3" s="3" t="s">
        <v>1</v>
      </c>
      <c r="B3" s="3" t="s">
        <v>2</v>
      </c>
      <c r="C3" s="4" t="s">
        <v>6</v>
      </c>
      <c r="D3" s="3" t="s">
        <v>4</v>
      </c>
      <c r="E3" s="3" t="s">
        <v>5</v>
      </c>
      <c r="F3" s="3" t="s">
        <v>132</v>
      </c>
    </row>
    <row r="4" spans="1:6" ht="15.75" customHeight="1">
      <c r="A4" s="3">
        <v>1</v>
      </c>
      <c r="B4" s="3" t="s">
        <v>133</v>
      </c>
      <c r="C4" s="3" t="s">
        <v>134</v>
      </c>
      <c r="D4" s="6" t="s">
        <v>135</v>
      </c>
      <c r="E4" s="3" t="s">
        <v>136</v>
      </c>
      <c r="F4" s="8" t="str">
        <f t="shared" ref="F4:F45" si="0">CONCATENATE($A$1,D4)</f>
        <v>https://www.removepaywall.com/https://asia.nikkei.com/Economy/TPP-vital-not-just-economically-but-strategically-Lee-Hsien-Loong</v>
      </c>
    </row>
    <row r="5" spans="1:6" ht="15.75" customHeight="1">
      <c r="A5" s="3">
        <v>2</v>
      </c>
      <c r="B5" s="3" t="s">
        <v>137</v>
      </c>
      <c r="C5" s="3" t="s">
        <v>138</v>
      </c>
      <c r="D5" s="6" t="s">
        <v>139</v>
      </c>
      <c r="E5" s="3" t="s">
        <v>140</v>
      </c>
      <c r="F5" s="8" t="str">
        <f t="shared" si="0"/>
        <v>https://www.removepaywall.com/https://asia.nikkei.com/Politics/Look-of-new-Asian-order-still-anyone-s-guess-says-ex-diplomat</v>
      </c>
    </row>
    <row r="6" spans="1:6" ht="15.75" customHeight="1">
      <c r="A6" s="3">
        <v>3</v>
      </c>
      <c r="B6" s="3" t="s">
        <v>141</v>
      </c>
      <c r="C6" s="3" t="s">
        <v>142</v>
      </c>
      <c r="D6" s="6" t="s">
        <v>143</v>
      </c>
      <c r="E6" s="3" t="s">
        <v>144</v>
      </c>
      <c r="F6" s="8" t="str">
        <f t="shared" si="0"/>
        <v>https://www.removepaywall.com/https://asia.nikkei.com/Politics/Amid-Cambodia-Vietnam-border-tensions-a-special-relationship-evolves</v>
      </c>
    </row>
    <row r="7" spans="1:6" ht="15.75" customHeight="1">
      <c r="A7" s="3">
        <v>4</v>
      </c>
      <c r="B7" s="3" t="s">
        <v>145</v>
      </c>
      <c r="C7" s="3" t="s">
        <v>146</v>
      </c>
      <c r="D7" s="6" t="s">
        <v>147</v>
      </c>
      <c r="E7" s="3" t="s">
        <v>148</v>
      </c>
      <c r="F7" s="8" t="str">
        <f t="shared" si="0"/>
        <v>https://www.removepaywall.com/https://asia.nikkei.com/Politics/Calls-for-Kra-Isthmus-shortcut-grow-in-Thailand</v>
      </c>
    </row>
    <row r="8" spans="1:6" ht="15.75" customHeight="1">
      <c r="A8" s="3">
        <v>5</v>
      </c>
      <c r="B8" s="3" t="s">
        <v>149</v>
      </c>
      <c r="C8" s="3" t="s">
        <v>150</v>
      </c>
      <c r="D8" s="6" t="s">
        <v>151</v>
      </c>
      <c r="E8" s="3" t="s">
        <v>152</v>
      </c>
      <c r="F8" s="8" t="str">
        <f t="shared" si="0"/>
        <v>https://www.removepaywall.com/https://asia.nikkei.com/Politics/Former-foes-US-Vietnam-move-closer-on-defense</v>
      </c>
    </row>
    <row r="9" spans="1:6" ht="15.75" customHeight="1">
      <c r="A9" s="3">
        <v>6</v>
      </c>
      <c r="B9" s="3" t="s">
        <v>153</v>
      </c>
      <c r="C9" s="3" t="s">
        <v>154</v>
      </c>
      <c r="D9" s="6" t="s">
        <v>155</v>
      </c>
      <c r="E9" s="3" t="s">
        <v>74</v>
      </c>
      <c r="F9" s="8" t="str">
        <f t="shared" si="0"/>
        <v>https://www.removepaywall.com/https://asia.nikkei.com/NAR/Articles/Aviation-tycoon-Susi-makes-a-splash-in-maritime-affairs</v>
      </c>
    </row>
    <row r="10" spans="1:6" ht="15.75" customHeight="1">
      <c r="A10" s="3">
        <v>7</v>
      </c>
      <c r="B10" s="3" t="s">
        <v>156</v>
      </c>
      <c r="C10" s="3" t="s">
        <v>157</v>
      </c>
      <c r="D10" s="6" t="s">
        <v>158</v>
      </c>
      <c r="E10" s="3" t="s">
        <v>74</v>
      </c>
      <c r="F10" s="8" t="str">
        <f t="shared" si="0"/>
        <v>https://www.removepaywall.com/https://asia.nikkei.com/NAR/Articles/Sri-Lanka-more-prepared-a-decade-after-devastation</v>
      </c>
    </row>
    <row r="11" spans="1:6" ht="15.75" customHeight="1">
      <c r="A11" s="3">
        <v>8</v>
      </c>
      <c r="B11" s="3" t="s">
        <v>159</v>
      </c>
      <c r="C11" s="3" t="s">
        <v>160</v>
      </c>
      <c r="D11" s="6" t="s">
        <v>161</v>
      </c>
      <c r="E11" s="3" t="s">
        <v>74</v>
      </c>
      <c r="F11" s="8" t="str">
        <f t="shared" si="0"/>
        <v>https://www.removepaywall.com/https://asia.nikkei.com/Business/Japanese-pioneer-develops-unagi-empire-in-Indonesia</v>
      </c>
    </row>
    <row r="12" spans="1:6" ht="15.75" customHeight="1">
      <c r="A12" s="3">
        <v>9</v>
      </c>
      <c r="B12" s="3" t="s">
        <v>162</v>
      </c>
      <c r="C12" s="3" t="s">
        <v>163</v>
      </c>
      <c r="D12" s="6" t="s">
        <v>164</v>
      </c>
      <c r="E12" s="3" t="s">
        <v>165</v>
      </c>
      <c r="F12" s="8" t="str">
        <f t="shared" si="0"/>
        <v>https://www.removepaywall.com/https://asia.nikkei.com/Spotlight/Asean-at-50/To-survive-another-50-years-ASEAN-must-learn-from-its-past2</v>
      </c>
    </row>
    <row r="13" spans="1:6" ht="15.75" customHeight="1">
      <c r="A13" s="3">
        <v>10</v>
      </c>
      <c r="B13" s="3" t="s">
        <v>166</v>
      </c>
      <c r="C13" s="3" t="s">
        <v>167</v>
      </c>
      <c r="D13" s="6" t="s">
        <v>168</v>
      </c>
      <c r="E13" s="3" t="s">
        <v>169</v>
      </c>
      <c r="F13" s="8" t="str">
        <f t="shared" si="0"/>
        <v>https://www.removepaywall.com/https://asia.nikkei.com/Politics/Vietnam-and-Russia-expand-joint-South-China-Sea-gas-projects</v>
      </c>
    </row>
    <row r="14" spans="1:6" ht="15.75" customHeight="1">
      <c r="A14" s="3">
        <v>11</v>
      </c>
      <c r="B14" s="3" t="s">
        <v>170</v>
      </c>
      <c r="C14" s="3" t="s">
        <v>171</v>
      </c>
      <c r="D14" s="6" t="s">
        <v>172</v>
      </c>
      <c r="E14" s="3" t="s">
        <v>173</v>
      </c>
      <c r="F14" s="8" t="str">
        <f t="shared" si="0"/>
        <v>https://www.removepaywall.com/https://asia.nikkei.com/Spotlight/The-Big-Story/How-Beijing-is-winning-control-of-the-South-China-Sea</v>
      </c>
    </row>
    <row r="15" spans="1:6" ht="15.75" customHeight="1">
      <c r="A15" s="3">
        <v>12</v>
      </c>
      <c r="B15" s="3" t="s">
        <v>174</v>
      </c>
      <c r="C15" s="3" t="s">
        <v>175</v>
      </c>
      <c r="D15" s="6" t="s">
        <v>176</v>
      </c>
      <c r="E15" s="3" t="s">
        <v>177</v>
      </c>
      <c r="F15" s="8" t="str">
        <f t="shared" si="0"/>
        <v>https://www.removepaywall.com/https://asia.nikkei.com/Politics/ASEAN-way-confronts-new-realities-of-US-Chinese-power</v>
      </c>
    </row>
    <row r="16" spans="1:6" ht="15.75" customHeight="1">
      <c r="A16" s="3">
        <v>13</v>
      </c>
      <c r="B16" s="3" t="s">
        <v>178</v>
      </c>
      <c r="C16" s="3" t="s">
        <v>179</v>
      </c>
      <c r="D16" s="6" t="s">
        <v>180</v>
      </c>
      <c r="E16" s="3" t="s">
        <v>181</v>
      </c>
      <c r="F16" s="8" t="str">
        <f t="shared" si="0"/>
        <v>https://www.removepaywall.com/https://asia.nikkei.com/Economy/Southeast-Asian-ports-thirst-for-more-seaborne-trade</v>
      </c>
    </row>
    <row r="17" spans="1:6" ht="15.75" customHeight="1">
      <c r="A17" s="3">
        <v>14</v>
      </c>
      <c r="B17" s="3" t="s">
        <v>182</v>
      </c>
      <c r="C17" s="3" t="s">
        <v>183</v>
      </c>
      <c r="D17" s="6" t="s">
        <v>184</v>
      </c>
      <c r="E17" s="3" t="s">
        <v>185</v>
      </c>
      <c r="F17" s="8" t="str">
        <f t="shared" si="0"/>
        <v>https://www.removepaywall.com/https://asia.nikkei.com/Economy/ASEAN-is-coming-together-slowly</v>
      </c>
    </row>
    <row r="18" spans="1:6" ht="15.75" customHeight="1">
      <c r="A18" s="3">
        <v>15</v>
      </c>
      <c r="B18" s="3" t="s">
        <v>186</v>
      </c>
      <c r="C18" s="3" t="s">
        <v>187</v>
      </c>
      <c r="D18" s="6" t="s">
        <v>188</v>
      </c>
      <c r="E18" s="3" t="s">
        <v>189</v>
      </c>
      <c r="F18" s="8" t="str">
        <f t="shared" si="0"/>
        <v>https://www.removepaywall.com/https://asia.nikkei.com/Politics/International-relations/Abe-softens-tone-on-Indo-Pacific-to-coax-China-s-ASEAN-friends</v>
      </c>
    </row>
    <row r="19" spans="1:6" ht="15.75" customHeight="1">
      <c r="A19" s="3">
        <v>16</v>
      </c>
      <c r="B19" s="3" t="s">
        <v>190</v>
      </c>
      <c r="C19" s="3" t="s">
        <v>191</v>
      </c>
      <c r="D19" s="6" t="s">
        <v>192</v>
      </c>
      <c r="E19" s="3" t="s">
        <v>193</v>
      </c>
      <c r="F19" s="8" t="str">
        <f t="shared" si="0"/>
        <v>https://www.removepaywall.com/https://asia.nikkei.com/Economy/Moe-Thuzar-To-remain-relevant-ASEAN-needs-a-stronger-nerve-center</v>
      </c>
    </row>
    <row r="20" spans="1:6" ht="15.75" customHeight="1">
      <c r="A20" s="3">
        <v>17</v>
      </c>
      <c r="B20" s="3" t="s">
        <v>194</v>
      </c>
      <c r="C20" s="3" t="s">
        <v>195</v>
      </c>
      <c r="D20" s="6" t="s">
        <v>196</v>
      </c>
      <c r="E20" s="3" t="s">
        <v>197</v>
      </c>
      <c r="F20" s="8" t="str">
        <f t="shared" si="0"/>
        <v>https://www.removepaywall.com/https://asia.nikkei.com/Economy/Singapore-walks-a-tightrope-between-China-US</v>
      </c>
    </row>
    <row r="21" spans="1:6" ht="15.75" customHeight="1">
      <c r="A21" s="3">
        <v>18</v>
      </c>
      <c r="B21" s="3" t="s">
        <v>198</v>
      </c>
      <c r="C21" s="3" t="s">
        <v>199</v>
      </c>
      <c r="D21" s="6" t="s">
        <v>200</v>
      </c>
      <c r="E21" s="3" t="s">
        <v>26</v>
      </c>
      <c r="F21" s="8" t="str">
        <f t="shared" si="0"/>
        <v>https://www.removepaywall.com/https://asia.nikkei.com/Politics/International-relations/East-Asia-Summit-statement-seeks-to-balance-US-and-China</v>
      </c>
    </row>
    <row r="22" spans="1:6" ht="15.75" customHeight="1">
      <c r="A22" s="3">
        <v>19</v>
      </c>
      <c r="B22" s="3" t="s">
        <v>201</v>
      </c>
      <c r="C22" s="3" t="s">
        <v>202</v>
      </c>
      <c r="D22" s="6" t="s">
        <v>203</v>
      </c>
      <c r="E22" s="3" t="s">
        <v>204</v>
      </c>
      <c r="F22" s="8" t="str">
        <f t="shared" si="0"/>
        <v>https://www.removepaywall.com/https://asia.nikkei.com/Politics/International-relations/Xi-courts-ASEAN-at-summit-as-Duterte-hits-out-over-South-China-Sea</v>
      </c>
    </row>
    <row r="23" spans="1:6" ht="15.75" customHeight="1">
      <c r="A23" s="3">
        <v>20</v>
      </c>
      <c r="B23" s="3" t="s">
        <v>205</v>
      </c>
      <c r="C23" s="3" t="s">
        <v>206</v>
      </c>
      <c r="D23" s="6" t="s">
        <v>207</v>
      </c>
      <c r="E23" s="3" t="s">
        <v>208</v>
      </c>
      <c r="F23" s="8" t="str">
        <f t="shared" si="0"/>
        <v>https://www.removepaywall.com/https://asia.nikkei.com/Politics/International-relations/South-China-Sea/Vietnam-stresses-South-China-Sea-security-issues-at-ASEAN-meeting</v>
      </c>
    </row>
    <row r="24" spans="1:6" ht="15.75" customHeight="1">
      <c r="A24" s="3">
        <v>21</v>
      </c>
      <c r="B24" s="3" t="s">
        <v>209</v>
      </c>
      <c r="C24" s="3" t="s">
        <v>210</v>
      </c>
      <c r="D24" s="6" t="s">
        <v>211</v>
      </c>
      <c r="E24" s="3" t="s">
        <v>212</v>
      </c>
      <c r="F24" s="8" t="str">
        <f t="shared" si="0"/>
        <v>https://www.removepaywall.com/https://asia.nikkei.com/Politics/International-relations/China-tightens-ASEAN-grip-while-US-looks-inward2</v>
      </c>
    </row>
    <row r="25" spans="1:6" ht="15.75" customHeight="1">
      <c r="A25" s="3">
        <v>22</v>
      </c>
      <c r="B25" s="3" t="s">
        <v>213</v>
      </c>
      <c r="C25" s="3" t="s">
        <v>214</v>
      </c>
      <c r="D25" s="6" t="s">
        <v>215</v>
      </c>
      <c r="E25" s="3" t="s">
        <v>216</v>
      </c>
      <c r="F25" s="8" t="str">
        <f t="shared" si="0"/>
        <v>https://www.removepaywall.com/https://asia.nikkei.com/Politics/International-relations/7-of-10-ASEAN-members-favor-China-over-US-survey</v>
      </c>
    </row>
    <row r="26" spans="1:6" ht="15.75" customHeight="1">
      <c r="A26" s="3">
        <v>23</v>
      </c>
      <c r="B26" s="3" t="s">
        <v>217</v>
      </c>
      <c r="C26" s="3" t="s">
        <v>218</v>
      </c>
      <c r="D26" s="6" t="s">
        <v>219</v>
      </c>
      <c r="E26" s="3" t="s">
        <v>220</v>
      </c>
      <c r="F26" s="8" t="str">
        <f t="shared" si="0"/>
        <v>https://www.removepaywall.com/https://asia.nikkei.com/Politics/International-relations/Beijing-friendly-Cambodia-and-Laos-pushed-out-to-ASEAN-s-fringe2</v>
      </c>
    </row>
    <row r="27" spans="1:6" ht="15.75" customHeight="1">
      <c r="A27" s="3">
        <v>24</v>
      </c>
      <c r="B27" s="3" t="s">
        <v>221</v>
      </c>
      <c r="C27" s="3" t="s">
        <v>222</v>
      </c>
      <c r="D27" s="6" t="s">
        <v>223</v>
      </c>
      <c r="E27" s="3" t="s">
        <v>224</v>
      </c>
      <c r="F27" s="8" t="str">
        <f t="shared" si="0"/>
        <v>https://www.removepaywall.com/https://asia.nikkei.com/Spotlight/Asia-Insight/ASEAN-defends-its-Indo-Pacific-centrality-between-Quad-and-China</v>
      </c>
    </row>
    <row r="28" spans="1:6" ht="15.75" customHeight="1">
      <c r="A28" s="3">
        <v>25</v>
      </c>
      <c r="B28" s="3" t="s">
        <v>225</v>
      </c>
      <c r="C28" s="3" t="s">
        <v>226</v>
      </c>
      <c r="D28" s="6" t="s">
        <v>227</v>
      </c>
      <c r="E28" s="3" t="s">
        <v>228</v>
      </c>
      <c r="F28" s="8" t="str">
        <f t="shared" si="0"/>
        <v>https://www.removepaywall.com/https://asia.nikkei.com/Spotlight/Belt-and-Road/China-promises-to-raise-imports-from-ASEAN-ahead-of-new-rail-link</v>
      </c>
    </row>
    <row r="29" spans="1:6" ht="15.75" customHeight="1">
      <c r="A29" s="3">
        <v>26</v>
      </c>
      <c r="B29" s="3" t="s">
        <v>229</v>
      </c>
      <c r="C29" s="3" t="s">
        <v>230</v>
      </c>
      <c r="D29" s="6" t="s">
        <v>231</v>
      </c>
      <c r="E29" s="3" t="s">
        <v>232</v>
      </c>
      <c r="F29" s="8" t="str">
        <f t="shared" si="0"/>
        <v>https://www.removepaywall.com/https://asia.nikkei.com/Politics/International-relations/China-s-ASEAN-diplomacy-pushes-back-against-US-encirclement</v>
      </c>
    </row>
    <row r="30" spans="1:6" ht="15.75" customHeight="1">
      <c r="A30" s="3">
        <v>27</v>
      </c>
      <c r="B30" s="3" t="s">
        <v>233</v>
      </c>
      <c r="C30" s="3" t="s">
        <v>234</v>
      </c>
      <c r="D30" s="6" t="s">
        <v>235</v>
      </c>
      <c r="E30" s="3" t="s">
        <v>236</v>
      </c>
      <c r="F30" s="8" t="str">
        <f t="shared" si="0"/>
        <v>https://www.removepaywall.com/https://asia.nikkei.com/Politics/International-relations/Japan-promises-to-diversify-supply-chains-across-ASEAN</v>
      </c>
    </row>
    <row r="31" spans="1:6" ht="15.75" customHeight="1">
      <c r="A31" s="3">
        <v>28</v>
      </c>
      <c r="B31" s="3" t="s">
        <v>237</v>
      </c>
      <c r="C31" s="3" t="s">
        <v>238</v>
      </c>
      <c r="D31" s="6" t="s">
        <v>239</v>
      </c>
      <c r="E31" s="3" t="s">
        <v>240</v>
      </c>
      <c r="F31" s="8" t="str">
        <f t="shared" si="0"/>
        <v>https://www.removepaywall.com/https://asia.nikkei.com/Politics/International-relations/South-China-Sea/ASEAN-and-China-aim-for-South-China-Sea-hotline-trial-in-2023</v>
      </c>
    </row>
    <row r="32" spans="1:6" ht="15.75" customHeight="1">
      <c r="A32" s="3">
        <v>29</v>
      </c>
      <c r="B32" s="3" t="s">
        <v>241</v>
      </c>
      <c r="C32" s="3" t="s">
        <v>242</v>
      </c>
      <c r="D32" s="6" t="s">
        <v>243</v>
      </c>
      <c r="E32" s="3" t="s">
        <v>244</v>
      </c>
      <c r="F32" s="8" t="str">
        <f t="shared" si="0"/>
        <v>https://www.removepaywall.com/https://asia.nikkei.com/Spotlight/Asia-Insight/Philippines-Marcos-muscles-up-ASEAN-s-South-China-Sea-posture</v>
      </c>
    </row>
    <row r="33" spans="1:6" ht="15.75" customHeight="1">
      <c r="A33" s="3">
        <v>30</v>
      </c>
      <c r="B33" s="3" t="s">
        <v>245</v>
      </c>
      <c r="C33" s="3" t="s">
        <v>246</v>
      </c>
      <c r="D33" s="6" t="s">
        <v>247</v>
      </c>
      <c r="E33" s="3" t="s">
        <v>127</v>
      </c>
      <c r="F33" s="8" t="str">
        <f t="shared" si="0"/>
        <v>https://www.removepaywall.com/https://asia.nikkei.com/Politics/International-relations/South-China-Sea/ASEAN-leaders-meet-Chinese-Premier-Li-amid-map-controversy</v>
      </c>
    </row>
    <row r="34" spans="1:6" ht="15.75" customHeight="1">
      <c r="A34" s="3">
        <v>31</v>
      </c>
      <c r="B34" s="3" t="s">
        <v>248</v>
      </c>
      <c r="C34" s="3" t="s">
        <v>249</v>
      </c>
      <c r="D34" s="6" t="s">
        <v>250</v>
      </c>
      <c r="E34" s="3" t="s">
        <v>54</v>
      </c>
      <c r="F34" s="8" t="str">
        <f t="shared" si="0"/>
        <v>https://www.removepaywall.com/https://asia.nikkei.com/Politics/International-relations/South-China-Sea/ASEAN-led-defense-talks-reaffirm-norms-for-South-China-Sea</v>
      </c>
    </row>
    <row r="35" spans="1:6" ht="15.75" customHeight="1">
      <c r="A35" s="3">
        <v>32</v>
      </c>
      <c r="B35" s="3" t="s">
        <v>251</v>
      </c>
      <c r="C35" s="3" t="s">
        <v>252</v>
      </c>
      <c r="D35" s="6" t="s">
        <v>253</v>
      </c>
      <c r="E35" s="3" t="s">
        <v>254</v>
      </c>
      <c r="F35" s="8" t="str">
        <f t="shared" si="0"/>
        <v>https://www.removepaywall.com/https://asia.nikkei.com/Economy/Trade/China-vows-to-boost-Southeast-Asia-imports-as-growth-slows</v>
      </c>
    </row>
    <row r="36" spans="1:6" ht="15.75" customHeight="1">
      <c r="A36" s="3">
        <v>33</v>
      </c>
      <c r="B36" s="3" t="s">
        <v>255</v>
      </c>
      <c r="C36" s="3" t="s">
        <v>256</v>
      </c>
      <c r="D36" s="6" t="s">
        <v>257</v>
      </c>
      <c r="E36" s="3" t="s">
        <v>258</v>
      </c>
      <c r="F36" s="8" t="str">
        <f t="shared" si="0"/>
        <v>https://www.removepaywall.com/https://asia.nikkei.com/Spotlight/Belt-and-Road/ASEAN-to-stay-priority-for-China-s-BRI-investment-despite-slowdown</v>
      </c>
    </row>
    <row r="37" spans="1:6" ht="15.75" customHeight="1">
      <c r="A37" s="3">
        <v>34</v>
      </c>
      <c r="B37" s="3" t="s">
        <v>259</v>
      </c>
      <c r="C37" s="3" t="s">
        <v>260</v>
      </c>
      <c r="D37" s="6" t="s">
        <v>261</v>
      </c>
      <c r="E37" s="3" t="s">
        <v>262</v>
      </c>
      <c r="F37" s="8" t="str">
        <f t="shared" si="0"/>
        <v>https://www.removepaywall.com/https://asia.nikkei.com/Politics/International-relations/US-China-tensions/China-deepens-ties-with-ASEAN-as-Biden-skips-Jakarta-summits</v>
      </c>
    </row>
    <row r="38" spans="1:6" ht="15.75" customHeight="1">
      <c r="A38" s="3">
        <v>35</v>
      </c>
      <c r="B38" s="3" t="s">
        <v>263</v>
      </c>
      <c r="C38" s="3" t="s">
        <v>264</v>
      </c>
      <c r="D38" s="6" t="s">
        <v>265</v>
      </c>
      <c r="E38" s="3" t="s">
        <v>266</v>
      </c>
      <c r="F38" s="8" t="str">
        <f t="shared" si="0"/>
        <v>https://www.removepaywall.com/https://asia.nikkei.com/Politics/International-relations/ASEAN-urges-cool-heads-on-South-China-Sea-as-summit-ends</v>
      </c>
    </row>
    <row r="39" spans="1:6" ht="15.75" customHeight="1">
      <c r="A39" s="3">
        <v>36</v>
      </c>
      <c r="B39" s="3" t="s">
        <v>267</v>
      </c>
      <c r="C39" s="3" t="s">
        <v>268</v>
      </c>
      <c r="D39" s="6" t="s">
        <v>269</v>
      </c>
      <c r="E39" s="3" t="s">
        <v>270</v>
      </c>
      <c r="F39" s="8" t="str">
        <f t="shared" si="0"/>
        <v>https://www.removepaywall.com/https://asia.nikkei.com/Spotlight/Asia-Insight/China-s-massive-new-canal-aims-for-closer-ASEAN-connectivity</v>
      </c>
    </row>
    <row r="40" spans="1:6" ht="15.75" customHeight="1">
      <c r="A40" s="3">
        <v>37</v>
      </c>
      <c r="B40" s="3" t="s">
        <v>271</v>
      </c>
      <c r="C40" s="3" t="s">
        <v>272</v>
      </c>
      <c r="D40" s="6" t="s">
        <v>273</v>
      </c>
      <c r="E40" s="3" t="s">
        <v>274</v>
      </c>
      <c r="F40" s="8" t="str">
        <f t="shared" si="0"/>
        <v>https://www.removepaywall.com/https://asia.nikkei.com/Politics/International-relations/South-China-Sea/Vietnam-said-to-plan-military-buildup-on-South-China-Sea-footholds</v>
      </c>
    </row>
    <row r="41" spans="1:6" ht="15.75" customHeight="1">
      <c r="A41" s="3">
        <v>38</v>
      </c>
      <c r="B41" s="3" t="s">
        <v>275</v>
      </c>
      <c r="C41" s="3" t="s">
        <v>276</v>
      </c>
      <c r="D41" s="6" t="s">
        <v>277</v>
      </c>
      <c r="E41" s="3" t="s">
        <v>278</v>
      </c>
      <c r="F41" s="8" t="str">
        <f t="shared" si="0"/>
        <v>https://www.removepaywall.com/https://asia.nikkei.com/Business/Business-trends/ASEAN-courts-Africa-amid-China-slowdown-business-council-chief2</v>
      </c>
    </row>
    <row r="42" spans="1:6" ht="15.75" customHeight="1">
      <c r="A42" s="3">
        <v>39</v>
      </c>
      <c r="B42" s="3" t="s">
        <v>279</v>
      </c>
      <c r="C42" s="3" t="s">
        <v>280</v>
      </c>
      <c r="D42" s="6" t="s">
        <v>281</v>
      </c>
      <c r="E42" s="3" t="s">
        <v>282</v>
      </c>
      <c r="F42" s="8" t="str">
        <f t="shared" si="0"/>
        <v>https://www.removepaywall.com/https://asia.nikkei.com/Politics/International-relations/Blinken-says-U.S.-still-committed-to-freedom-in-South-China-Sea</v>
      </c>
    </row>
    <row r="43" spans="1:6" ht="15.75" customHeight="1">
      <c r="A43" s="3">
        <v>40</v>
      </c>
      <c r="B43" s="3" t="s">
        <v>283</v>
      </c>
      <c r="C43" s="3" t="s">
        <v>284</v>
      </c>
      <c r="D43" s="6" t="s">
        <v>285</v>
      </c>
      <c r="E43" s="3" t="s">
        <v>286</v>
      </c>
      <c r="F43" s="8" t="str">
        <f t="shared" si="0"/>
        <v>https://www.removepaywall.com/https://asia.nikkei.com/Economy/Trade/China-s-durian-boom-sparks-ASEAN-alarm-over-mega-trade-deal</v>
      </c>
    </row>
    <row r="44" spans="1:6" ht="15.75" customHeight="1">
      <c r="A44" s="3">
        <v>41</v>
      </c>
      <c r="B44" s="3" t="s">
        <v>287</v>
      </c>
      <c r="C44" s="3" t="s">
        <v>288</v>
      </c>
      <c r="D44" s="6" t="s">
        <v>289</v>
      </c>
      <c r="E44" s="3" t="s">
        <v>290</v>
      </c>
      <c r="F44" s="8" t="str">
        <f t="shared" si="0"/>
        <v>https://www.removepaywall.com/https://asia.nikkei.com/Spotlight/The-Big-Story/China-s-grip-on-Southeast-Asia-tightens-as-U.S.-influence-wanes</v>
      </c>
    </row>
    <row r="45" spans="1:6" ht="15.75" customHeight="1">
      <c r="A45" s="3">
        <v>42</v>
      </c>
      <c r="B45" s="3" t="s">
        <v>291</v>
      </c>
      <c r="C45" s="3" t="s">
        <v>292</v>
      </c>
      <c r="D45" s="6" t="s">
        <v>293</v>
      </c>
      <c r="E45" s="3" t="s">
        <v>294</v>
      </c>
      <c r="F45" s="8" t="str">
        <f t="shared" si="0"/>
        <v>https://www.removepaywall.com/https://asia.nikkei.com/Politics/International-relations/South-China-Sea/South-China-Sea-brims-with-rare-earth-and-renewable-power-promise</v>
      </c>
    </row>
    <row r="46" spans="1:6" ht="15.75" customHeight="1"/>
    <row r="47" spans="1:6" ht="15.75" customHeight="1"/>
    <row r="48" spans="1: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D4" r:id="rId1" xr:uid="{00000000-0004-0000-0100-000000000000}"/>
    <hyperlink ref="D5" r:id="rId2" xr:uid="{00000000-0004-0000-0100-000001000000}"/>
    <hyperlink ref="D6" r:id="rId3" xr:uid="{00000000-0004-0000-0100-000002000000}"/>
    <hyperlink ref="D7" r:id="rId4" xr:uid="{00000000-0004-0000-0100-000003000000}"/>
    <hyperlink ref="D8" r:id="rId5" xr:uid="{00000000-0004-0000-0100-000004000000}"/>
    <hyperlink ref="D9" r:id="rId6" xr:uid="{00000000-0004-0000-0100-000005000000}"/>
    <hyperlink ref="D10" r:id="rId7" xr:uid="{00000000-0004-0000-0100-000006000000}"/>
    <hyperlink ref="D11" r:id="rId8" xr:uid="{00000000-0004-0000-0100-000007000000}"/>
    <hyperlink ref="D12" r:id="rId9" xr:uid="{00000000-0004-0000-0100-000008000000}"/>
    <hyperlink ref="D13" r:id="rId10" xr:uid="{00000000-0004-0000-0100-000009000000}"/>
    <hyperlink ref="D14" r:id="rId11" xr:uid="{00000000-0004-0000-0100-00000A000000}"/>
    <hyperlink ref="D15" r:id="rId12" xr:uid="{00000000-0004-0000-0100-00000B000000}"/>
    <hyperlink ref="D16" r:id="rId13" xr:uid="{00000000-0004-0000-0100-00000C000000}"/>
    <hyperlink ref="D17" r:id="rId14" xr:uid="{00000000-0004-0000-0100-00000D000000}"/>
    <hyperlink ref="D18" r:id="rId15" xr:uid="{00000000-0004-0000-0100-00000E000000}"/>
    <hyperlink ref="D19" r:id="rId16" xr:uid="{00000000-0004-0000-0100-00000F000000}"/>
    <hyperlink ref="D20" r:id="rId17" xr:uid="{00000000-0004-0000-0100-000010000000}"/>
    <hyperlink ref="D21" r:id="rId18" xr:uid="{00000000-0004-0000-0100-000011000000}"/>
    <hyperlink ref="D22" r:id="rId19" xr:uid="{00000000-0004-0000-0100-000012000000}"/>
    <hyperlink ref="D23" r:id="rId20" xr:uid="{00000000-0004-0000-0100-000013000000}"/>
    <hyperlink ref="D24" r:id="rId21" xr:uid="{00000000-0004-0000-0100-000014000000}"/>
    <hyperlink ref="D25" r:id="rId22" xr:uid="{00000000-0004-0000-0100-000015000000}"/>
    <hyperlink ref="D26" r:id="rId23" xr:uid="{00000000-0004-0000-0100-000016000000}"/>
    <hyperlink ref="D27" r:id="rId24" xr:uid="{00000000-0004-0000-0100-000017000000}"/>
    <hyperlink ref="D28" r:id="rId25" xr:uid="{00000000-0004-0000-0100-000018000000}"/>
    <hyperlink ref="D29" r:id="rId26" xr:uid="{00000000-0004-0000-0100-000019000000}"/>
    <hyperlink ref="D30" r:id="rId27" xr:uid="{00000000-0004-0000-0100-00001A000000}"/>
    <hyperlink ref="D31" r:id="rId28" xr:uid="{00000000-0004-0000-0100-00001B000000}"/>
    <hyperlink ref="D32" r:id="rId29" xr:uid="{00000000-0004-0000-0100-00001C000000}"/>
    <hyperlink ref="D33" r:id="rId30" xr:uid="{00000000-0004-0000-0100-00001D000000}"/>
    <hyperlink ref="D34" r:id="rId31" xr:uid="{00000000-0004-0000-0100-00001E000000}"/>
    <hyperlink ref="D35" r:id="rId32" xr:uid="{00000000-0004-0000-0100-00001F000000}"/>
    <hyperlink ref="D36" r:id="rId33" xr:uid="{00000000-0004-0000-0100-000020000000}"/>
    <hyperlink ref="D37" r:id="rId34" xr:uid="{00000000-0004-0000-0100-000021000000}"/>
    <hyperlink ref="D38" r:id="rId35" xr:uid="{00000000-0004-0000-0100-000022000000}"/>
    <hyperlink ref="D39" r:id="rId36" xr:uid="{00000000-0004-0000-0100-000023000000}"/>
    <hyperlink ref="D40" r:id="rId37" xr:uid="{00000000-0004-0000-0100-000024000000}"/>
    <hyperlink ref="D41" r:id="rId38" xr:uid="{00000000-0004-0000-0100-000025000000}"/>
    <hyperlink ref="D42" r:id="rId39" xr:uid="{00000000-0004-0000-0100-000026000000}"/>
    <hyperlink ref="D43" r:id="rId40" xr:uid="{00000000-0004-0000-0100-000027000000}"/>
    <hyperlink ref="D44" r:id="rId41" xr:uid="{00000000-0004-0000-0100-000028000000}"/>
    <hyperlink ref="D45" r:id="rId42" xr:uid="{00000000-0004-0000-0100-000029000000}"/>
  </hyperlinks>
  <pageMargins left="0.7" right="0.7" top="0.75" bottom="0.75" header="0" footer="0"/>
  <pageSetup orientation="landscape"/>
  <tableParts count="1">
    <tablePart r:id="rId4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1000"/>
  <sheetViews>
    <sheetView topLeftCell="A30" workbookViewId="0">
      <selection activeCell="D4" sqref="D4:E36"/>
    </sheetView>
  </sheetViews>
  <sheetFormatPr defaultColWidth="12.5703125" defaultRowHeight="15" customHeight="1"/>
  <cols>
    <col min="1" max="6" width="12.5703125" customWidth="1"/>
  </cols>
  <sheetData>
    <row r="1" spans="1:6" ht="15.75" customHeight="1">
      <c r="A1" s="4" t="s">
        <v>131</v>
      </c>
    </row>
    <row r="2" spans="1:6" ht="15.75" customHeight="1"/>
    <row r="3" spans="1:6" ht="15.75" customHeight="1">
      <c r="A3" s="3" t="s">
        <v>1</v>
      </c>
      <c r="B3" s="3" t="s">
        <v>2</v>
      </c>
      <c r="C3" s="3" t="s">
        <v>6</v>
      </c>
      <c r="D3" s="3" t="s">
        <v>4</v>
      </c>
      <c r="E3" s="3" t="s">
        <v>5</v>
      </c>
      <c r="F3" s="3" t="s">
        <v>132</v>
      </c>
    </row>
    <row r="4" spans="1:6" ht="15.75" customHeight="1">
      <c r="A4" s="9">
        <v>1</v>
      </c>
      <c r="B4" s="3" t="s">
        <v>295</v>
      </c>
      <c r="C4" s="3" t="s">
        <v>296</v>
      </c>
      <c r="D4" s="6" t="s">
        <v>297</v>
      </c>
      <c r="E4" s="3" t="s">
        <v>298</v>
      </c>
      <c r="F4" s="8" t="str">
        <f t="shared" ref="F4:F44" si="0">CONCATENATE($A$1,D4)</f>
        <v>https://www.removepaywall.com/https://www.straitstimes.com/singapore/freedom-of-navigation-key-to-spore-shanmugam</v>
      </c>
    </row>
    <row r="5" spans="1:6" ht="15.75" customHeight="1">
      <c r="A5" s="9">
        <v>2</v>
      </c>
      <c r="B5" s="3" t="s">
        <v>299</v>
      </c>
      <c r="C5" s="3" t="s">
        <v>300</v>
      </c>
      <c r="D5" s="6" t="s">
        <v>301</v>
      </c>
      <c r="E5" s="3" t="s">
        <v>302</v>
      </c>
      <c r="F5" s="8" t="str">
        <f t="shared" si="0"/>
        <v>https://www.removepaywall.com/https://www.straitstimes.com/asia/se-asia?query=economy&amp;page=124</v>
      </c>
    </row>
    <row r="6" spans="1:6" ht="15.75" customHeight="1">
      <c r="A6" s="9">
        <v>3</v>
      </c>
      <c r="B6" s="3" t="s">
        <v>303</v>
      </c>
      <c r="C6" s="3" t="s">
        <v>304</v>
      </c>
      <c r="D6" s="6" t="s">
        <v>305</v>
      </c>
      <c r="E6" s="3" t="s">
        <v>306</v>
      </c>
      <c r="F6" s="8" t="str">
        <f t="shared" si="0"/>
        <v>https://www.removepaywall.com/https://www.straitstimes.com/asia/east-asia/president-tony-tan-keng-yam-meets-top-chinese-leaders-during-state-visit</v>
      </c>
    </row>
    <row r="7" spans="1:6" ht="15.75" customHeight="1">
      <c r="A7" s="9">
        <v>4</v>
      </c>
      <c r="B7" s="3" t="s">
        <v>307</v>
      </c>
      <c r="C7" s="3" t="s">
        <v>308</v>
      </c>
      <c r="D7" s="6" t="s">
        <v>309</v>
      </c>
      <c r="E7" s="3" t="s">
        <v>310</v>
      </c>
      <c r="F7" s="8" t="str">
        <f t="shared" si="0"/>
        <v>https://www.removepaywall.com/https://www.straitstimes.com/singapore/slower-pace-of-life-comes-with-trade-off-says-shanmugam</v>
      </c>
    </row>
    <row r="8" spans="1:6" ht="15.75" customHeight="1">
      <c r="A8" s="9">
        <v>5</v>
      </c>
      <c r="B8" s="3" t="s">
        <v>311</v>
      </c>
      <c r="C8" s="3" t="s">
        <v>312</v>
      </c>
      <c r="D8" s="6" t="s">
        <v>313</v>
      </c>
      <c r="E8" s="3" t="s">
        <v>302</v>
      </c>
      <c r="F8" s="8" t="str">
        <f t="shared" si="0"/>
        <v>https://www.removepaywall.com/https://www.straitstimes.com/asia/australianz?_nei=2f64b303-c4c0-49bc-a3ac-383794af08ef&amp;page=29</v>
      </c>
    </row>
    <row r="9" spans="1:6" ht="15.75" customHeight="1">
      <c r="A9" s="9">
        <v>6</v>
      </c>
      <c r="B9" s="3" t="s">
        <v>314</v>
      </c>
      <c r="C9" s="3" t="s">
        <v>315</v>
      </c>
      <c r="D9" s="6" t="s">
        <v>316</v>
      </c>
      <c r="E9" s="3" t="s">
        <v>302</v>
      </c>
      <c r="F9" s="8" t="str">
        <f t="shared" si="0"/>
        <v>https://www.removepaywall.com/https://www.straitstimes.com/tags/philippines?ref=article-bottom&amp;page=44</v>
      </c>
    </row>
    <row r="10" spans="1:6" ht="15.75" customHeight="1">
      <c r="A10" s="9">
        <v>7</v>
      </c>
      <c r="B10" s="3" t="s">
        <v>317</v>
      </c>
      <c r="C10" s="3" t="s">
        <v>318</v>
      </c>
      <c r="D10" s="6" t="s">
        <v>319</v>
      </c>
      <c r="E10" s="3" t="s">
        <v>320</v>
      </c>
      <c r="F10" s="8" t="str">
        <f t="shared" si="0"/>
        <v>https://www.removepaywall.com/https://graphics.straitstimes.com/STI/STIMEDIA/ebooks/LKY_The_Man_And_His_Ideas.pdf</v>
      </c>
    </row>
    <row r="11" spans="1:6" ht="15.75" customHeight="1">
      <c r="A11" s="9">
        <v>8</v>
      </c>
      <c r="B11" s="3" t="s">
        <v>321</v>
      </c>
      <c r="C11" s="3" t="s">
        <v>322</v>
      </c>
      <c r="D11" s="6" t="s">
        <v>323</v>
      </c>
      <c r="E11" s="3" t="s">
        <v>324</v>
      </c>
      <c r="F11" s="8" t="str">
        <f t="shared" si="0"/>
        <v>https://www.removepaywall.com/https://graphics.straitstimes.com/STI/STIMEDIA/ebooks/HomeSG50.pdf</v>
      </c>
    </row>
    <row r="12" spans="1:6" ht="15.75" customHeight="1">
      <c r="A12" s="9">
        <v>9</v>
      </c>
      <c r="B12" s="3" t="s">
        <v>325</v>
      </c>
      <c r="C12" s="3" t="s">
        <v>326</v>
      </c>
      <c r="D12" s="6" t="s">
        <v>327</v>
      </c>
      <c r="E12" s="3" t="s">
        <v>328</v>
      </c>
      <c r="F12" s="8" t="str">
        <f t="shared" si="0"/>
        <v>https://www.removepaywall.com/https://graphics.straitstimes.com/STI/STIMEDIA/2015/lky-8day-coverage/docs/29.pdf</v>
      </c>
    </row>
    <row r="13" spans="1:6" ht="15.75" customHeight="1">
      <c r="A13" s="9">
        <v>10</v>
      </c>
      <c r="B13" s="3" t="s">
        <v>329</v>
      </c>
      <c r="C13" s="3" t="s">
        <v>330</v>
      </c>
      <c r="D13" s="6" t="s">
        <v>331</v>
      </c>
      <c r="E13" s="3" t="s">
        <v>332</v>
      </c>
      <c r="F13" s="8" t="str">
        <f t="shared" si="0"/>
        <v>https://www.removepaywall.com/https://graphics.straitstimes.com/STI/STIMEDIA/ebooks/Historic_Gardens.pdf</v>
      </c>
    </row>
    <row r="14" spans="1:6" ht="15.75" customHeight="1">
      <c r="A14" s="9">
        <v>11</v>
      </c>
      <c r="B14" s="3" t="s">
        <v>333</v>
      </c>
      <c r="C14" s="3" t="s">
        <v>334</v>
      </c>
      <c r="D14" s="6" t="s">
        <v>335</v>
      </c>
      <c r="E14" s="3" t="s">
        <v>336</v>
      </c>
      <c r="F14" s="8" t="str">
        <f t="shared" si="0"/>
        <v>https://www.removepaywall.com/https://www.straitstimes.com/asia/se-asia/hishammuddin-keeps-an-eye-on-the-big-picture-the-star</v>
      </c>
    </row>
    <row r="15" spans="1:6" ht="15.75" customHeight="1">
      <c r="A15" s="9">
        <v>12</v>
      </c>
      <c r="B15" s="3" t="s">
        <v>337</v>
      </c>
      <c r="C15" s="3" t="s">
        <v>338</v>
      </c>
      <c r="D15" s="6" t="s">
        <v>339</v>
      </c>
      <c r="E15" s="3" t="s">
        <v>340</v>
      </c>
      <c r="F15" s="8" t="str">
        <f t="shared" si="0"/>
        <v>https://www.removepaywall.com/https://graphics.straitstimes.com/STI/STIMEDIA/2015/lky-8day-coverage/docs/24.pdf</v>
      </c>
    </row>
    <row r="16" spans="1:6" ht="15.75" customHeight="1">
      <c r="A16" s="9">
        <v>13</v>
      </c>
      <c r="B16" s="3" t="s">
        <v>341</v>
      </c>
      <c r="C16" s="3" t="s">
        <v>342</v>
      </c>
      <c r="D16" s="6" t="s">
        <v>343</v>
      </c>
      <c r="E16" s="3" t="s">
        <v>344</v>
      </c>
      <c r="F16" s="8" t="str">
        <f t="shared" si="0"/>
        <v>https://www.removepaywall.com/https://www.straitstimes.com/asia/east-asia/what-you-need-to-know-about-south-china-sea-disputes</v>
      </c>
    </row>
    <row r="17" spans="1:6" ht="15.75" customHeight="1">
      <c r="A17" s="9">
        <v>14</v>
      </c>
      <c r="B17" s="3" t="s">
        <v>345</v>
      </c>
      <c r="C17" s="3" t="s">
        <v>346</v>
      </c>
      <c r="D17" s="6" t="s">
        <v>347</v>
      </c>
      <c r="E17" s="3" t="s">
        <v>348</v>
      </c>
      <c r="F17" s="8" t="str">
        <f t="shared" si="0"/>
        <v>https://www.removepaywall.com/https://www.straitstimes.com/singapore/asean-will-not-be-put-in-position-to-pick-between-world-powers-ng-eng-hen</v>
      </c>
    </row>
    <row r="18" spans="1:6" ht="15.75" customHeight="1">
      <c r="A18" s="9">
        <v>15</v>
      </c>
      <c r="B18" s="3" t="s">
        <v>349</v>
      </c>
      <c r="C18" s="3" t="s">
        <v>350</v>
      </c>
      <c r="D18" s="6" t="s">
        <v>351</v>
      </c>
      <c r="E18" s="3" t="s">
        <v>177</v>
      </c>
      <c r="F18" s="8" t="str">
        <f t="shared" si="0"/>
        <v>https://www.removepaywall.com/https://www.straitstimes.com/asia/leaders-of-asean-china-japan-and-south-korea-call-for-closer-economic-integration</v>
      </c>
    </row>
    <row r="19" spans="1:6" ht="15.75" customHeight="1">
      <c r="A19" s="9">
        <v>16</v>
      </c>
      <c r="B19" s="3" t="s">
        <v>352</v>
      </c>
      <c r="C19" s="3" t="s">
        <v>353</v>
      </c>
      <c r="D19" s="6" t="s">
        <v>354</v>
      </c>
      <c r="E19" s="3" t="s">
        <v>355</v>
      </c>
      <c r="F19" s="8" t="str">
        <f t="shared" si="0"/>
        <v>https://www.removepaywall.com/https://www.straitstimes.com/asia/se-asia/countries-should-not-underestimate-legality-of-beijings-south-china-sea-arguments</v>
      </c>
    </row>
    <row r="20" spans="1:6" ht="15.75" customHeight="1">
      <c r="A20" s="9">
        <v>17</v>
      </c>
      <c r="B20" s="3" t="s">
        <v>356</v>
      </c>
      <c r="C20" s="3" t="s">
        <v>357</v>
      </c>
      <c r="D20" s="6" t="s">
        <v>358</v>
      </c>
      <c r="E20" s="3" t="s">
        <v>30</v>
      </c>
      <c r="F20" s="8" t="str">
        <f t="shared" si="0"/>
        <v>https://www.removepaywall.com/https://www.straitstimes.com/asia/east-asia/china-asean-kick-off-inaugural-maritime-field-training-exercise-in-zhanjiang</v>
      </c>
    </row>
    <row r="21" spans="1:6" ht="15.75" customHeight="1">
      <c r="A21" s="9">
        <v>18</v>
      </c>
      <c r="B21" s="3" t="s">
        <v>359</v>
      </c>
      <c r="C21" s="3" t="s">
        <v>360</v>
      </c>
      <c r="D21" s="6" t="s">
        <v>361</v>
      </c>
      <c r="E21" s="3" t="s">
        <v>362</v>
      </c>
      <c r="F21" s="8" t="str">
        <f t="shared" si="0"/>
        <v>https://www.removepaywall.com/https://www.straitstimes.com/world/united-states/concerned-about-chinas-influence-congressional-asean-group-wants-deeper-us-asean</v>
      </c>
    </row>
    <row r="22" spans="1:6" ht="15.75" customHeight="1">
      <c r="A22" s="9">
        <v>19</v>
      </c>
      <c r="B22" s="3" t="s">
        <v>363</v>
      </c>
      <c r="C22" s="3" t="s">
        <v>364</v>
      </c>
      <c r="D22" s="6" t="s">
        <v>365</v>
      </c>
      <c r="E22" s="3" t="s">
        <v>366</v>
      </c>
      <c r="F22" s="8" t="str">
        <f t="shared" si="0"/>
        <v>https://www.removepaywall.com/https://tnp.straitstimes.com/news/world/safe-passage-all-s-china-sea-china</v>
      </c>
    </row>
    <row r="23" spans="1:6" ht="15.75" customHeight="1">
      <c r="A23" s="9">
        <v>20</v>
      </c>
      <c r="B23" s="3" t="s">
        <v>367</v>
      </c>
      <c r="C23" s="3" t="s">
        <v>368</v>
      </c>
      <c r="D23" s="6" t="s">
        <v>369</v>
      </c>
      <c r="E23" s="3" t="s">
        <v>370</v>
      </c>
      <c r="F23" s="8" t="str">
        <f t="shared" si="0"/>
        <v>https://www.removepaywall.com/https://www.straitstimes.com/singapore/china-general-he-lei-slams-irresponsible-comments-on-south-china-sea</v>
      </c>
    </row>
    <row r="24" spans="1:6" ht="15.75" customHeight="1">
      <c r="A24" s="9">
        <v>21</v>
      </c>
      <c r="B24" s="3" t="s">
        <v>371</v>
      </c>
      <c r="C24" s="3" t="s">
        <v>372</v>
      </c>
      <c r="D24" s="6" t="s">
        <v>373</v>
      </c>
      <c r="E24" s="3" t="s">
        <v>374</v>
      </c>
      <c r="F24" s="8" t="str">
        <f t="shared" si="0"/>
        <v>https://www.removepaywall.com/https://www.straitstimes.com/politics/asean-must-find-right-balance-to-weather-grave-period-in-world-history-vivian-balakrishnan</v>
      </c>
    </row>
    <row r="25" spans="1:6" ht="15.75" customHeight="1">
      <c r="A25" s="9">
        <v>22</v>
      </c>
      <c r="B25" s="3" t="s">
        <v>375</v>
      </c>
      <c r="C25" s="3" t="s">
        <v>376</v>
      </c>
      <c r="D25" s="6" t="s">
        <v>377</v>
      </c>
      <c r="E25" s="3" t="s">
        <v>366</v>
      </c>
      <c r="F25" s="8" t="str">
        <f t="shared" si="0"/>
        <v>https://www.removepaywall.com/https://www.straitstimes.com/asia/se-asia/asean-summit-trump-breaks-the-link-as-handshake-photo-op-goes-awry</v>
      </c>
    </row>
    <row r="26" spans="1:6" ht="15.75" customHeight="1">
      <c r="A26" s="9">
        <v>23</v>
      </c>
      <c r="B26" s="3" t="s">
        <v>378</v>
      </c>
      <c r="C26" s="3" t="s">
        <v>379</v>
      </c>
      <c r="D26" s="6" t="s">
        <v>380</v>
      </c>
      <c r="E26" s="3" t="s">
        <v>204</v>
      </c>
      <c r="F26" s="8" t="str">
        <f t="shared" si="0"/>
        <v>https://www.removepaywall.com/https://www.straitstimes.com/asia/east-asia/china-will-not-bully-smaller-countries-xi-tells-asean-leaders</v>
      </c>
    </row>
    <row r="27" spans="1:6" ht="15.75" customHeight="1">
      <c r="A27" s="9">
        <v>24</v>
      </c>
      <c r="B27" s="3" t="s">
        <v>381</v>
      </c>
      <c r="C27" s="3" t="s">
        <v>382</v>
      </c>
      <c r="D27" s="6" t="s">
        <v>383</v>
      </c>
      <c r="E27" s="3" t="s">
        <v>54</v>
      </c>
      <c r="F27" s="8" t="str">
        <f t="shared" si="0"/>
        <v>https://www.removepaywall.com/https://www.straitstimes.com/business/guangxi-to-strengthen-economic-cooperation-with-asean-and-singapore-businesses</v>
      </c>
    </row>
    <row r="28" spans="1:6" ht="15.75" customHeight="1">
      <c r="A28" s="9">
        <v>25</v>
      </c>
      <c r="B28" s="3" t="s">
        <v>384</v>
      </c>
      <c r="C28" s="3" t="s">
        <v>385</v>
      </c>
      <c r="D28" s="6" t="s">
        <v>386</v>
      </c>
      <c r="E28" s="3" t="s">
        <v>387</v>
      </c>
      <c r="F28" s="8" t="str">
        <f t="shared" si="0"/>
        <v>https://www.removepaywall.com/https://www.straitstimes.com/asia/se-asia/chinese-ships-intruded-into-malaysian-waters-89-times-in-four-years-report</v>
      </c>
    </row>
    <row r="29" spans="1:6" ht="15.75" customHeight="1">
      <c r="A29" s="9">
        <v>26</v>
      </c>
      <c r="B29" s="3" t="s">
        <v>388</v>
      </c>
      <c r="C29" s="3" t="s">
        <v>389</v>
      </c>
      <c r="D29" s="6" t="s">
        <v>390</v>
      </c>
      <c r="E29" s="3" t="s">
        <v>391</v>
      </c>
      <c r="F29" s="8" t="str">
        <f t="shared" si="0"/>
        <v>https://www.removepaywall.com/https://www.straitstimes.com/singapore/shangri-la-dialogue-chinese-defence-minister-wei-fenghe-says-china-ready-to-fight-us-on</v>
      </c>
    </row>
    <row r="30" spans="1:6" ht="15.75" customHeight="1">
      <c r="A30" s="9">
        <v>27</v>
      </c>
      <c r="B30" s="3" t="s">
        <v>392</v>
      </c>
      <c r="C30" s="3" t="s">
        <v>393</v>
      </c>
      <c r="D30" s="6" t="s">
        <v>394</v>
      </c>
      <c r="E30" s="3" t="s">
        <v>395</v>
      </c>
      <c r="F30" s="8" t="str">
        <f t="shared" si="0"/>
        <v>https://www.removepaywall.com/https://www.straitstimes.com/singapore/politics/retired-singapore-diplomat-dismisses-claims-by-cambodia-of-being-agent-to-foreign</v>
      </c>
    </row>
    <row r="31" spans="1:6" ht="15.75" customHeight="1">
      <c r="A31" s="9">
        <v>28</v>
      </c>
      <c r="B31" s="3" t="s">
        <v>396</v>
      </c>
      <c r="C31" s="3" t="s">
        <v>397</v>
      </c>
      <c r="D31" s="6" t="s">
        <v>398</v>
      </c>
      <c r="E31" s="3" t="s">
        <v>399</v>
      </c>
      <c r="F31" s="8" t="str">
        <f t="shared" si="0"/>
        <v>https://www.removepaywall.com/https://www.straitstimes.com/singapore/british-carrier-strike-group-conducts-passage-exercise-with-singapore-navy</v>
      </c>
    </row>
    <row r="32" spans="1:6" ht="15.75" customHeight="1">
      <c r="A32" s="9">
        <v>29</v>
      </c>
      <c r="B32" s="3" t="s">
        <v>400</v>
      </c>
      <c r="C32" s="3" t="s">
        <v>401</v>
      </c>
      <c r="D32" s="6" t="s">
        <v>402</v>
      </c>
      <c r="E32" s="3" t="s">
        <v>403</v>
      </c>
      <c r="F32" s="8" t="str">
        <f t="shared" si="0"/>
        <v>https://www.removepaywall.com/https://www.straitstimes.com/asia/asean-at-a-crossroads-jakarta-post-contributor</v>
      </c>
    </row>
    <row r="33" spans="1:6" ht="15.75" customHeight="1">
      <c r="A33" s="9">
        <v>30</v>
      </c>
      <c r="B33" s="3" t="s">
        <v>404</v>
      </c>
      <c r="C33" s="3" t="s">
        <v>405</v>
      </c>
      <c r="D33" s="6" t="s">
        <v>406</v>
      </c>
      <c r="E33" s="3" t="s">
        <v>407</v>
      </c>
      <c r="F33" s="8" t="str">
        <f t="shared" si="0"/>
        <v>https://www.removepaywall.com/https://www.straitstimes.com/asia/trump-v-biden-whos-better-for-asia</v>
      </c>
    </row>
    <row r="34" spans="1:6" ht="15.75" customHeight="1">
      <c r="A34" s="9">
        <v>31</v>
      </c>
      <c r="B34" s="3" t="s">
        <v>408</v>
      </c>
      <c r="C34" s="3" t="s">
        <v>409</v>
      </c>
      <c r="D34" s="6" t="s">
        <v>410</v>
      </c>
      <c r="E34" s="3" t="s">
        <v>411</v>
      </c>
      <c r="F34" s="8" t="str">
        <f t="shared" si="0"/>
        <v>https://www.removepaywall.com/https://www.straitstimes.com/asia/se-asia/us-weapons-sales-to-thailand-have-a-new-competitor-china</v>
      </c>
    </row>
    <row r="35" spans="1:6" ht="15.75" customHeight="1">
      <c r="A35" s="9">
        <v>32</v>
      </c>
      <c r="B35" s="3" t="s">
        <v>412</v>
      </c>
      <c r="C35" s="3" t="s">
        <v>413</v>
      </c>
      <c r="D35" s="6" t="s">
        <v>414</v>
      </c>
      <c r="E35" s="3" t="s">
        <v>204</v>
      </c>
      <c r="F35" s="8" t="str">
        <f t="shared" si="0"/>
        <v>https://www.removepaywall.com/https://www.straitstimes.com/singapore/ask-to-what-end-europe-should-impose-its-value-systems-on-asia-says-ng-eng-hen-in-urging</v>
      </c>
    </row>
    <row r="36" spans="1:6" ht="15.75" customHeight="1">
      <c r="A36" s="9">
        <v>33</v>
      </c>
      <c r="B36" s="3" t="s">
        <v>415</v>
      </c>
      <c r="C36" s="3" t="s">
        <v>416</v>
      </c>
      <c r="D36" s="10" t="s">
        <v>417</v>
      </c>
      <c r="E36" s="3" t="s">
        <v>418</v>
      </c>
      <c r="F36" s="8" t="str">
        <f t="shared" si="0"/>
        <v>https://www.removepaywall.com/https://www.straitstimes.com/asia/se-asia/china-and-asean-agree-on-guidelines-to-expedite-south-china-sea-negotiations</v>
      </c>
    </row>
    <row r="37" spans="1:6" ht="15.75" customHeight="1">
      <c r="A37" s="9">
        <v>34</v>
      </c>
      <c r="B37" s="3" t="s">
        <v>419</v>
      </c>
      <c r="C37" s="3" t="s">
        <v>420</v>
      </c>
      <c r="D37" s="10" t="s">
        <v>421</v>
      </c>
      <c r="E37" s="3" t="s">
        <v>422</v>
      </c>
      <c r="F37" s="8" t="str">
        <f t="shared" si="0"/>
        <v>https://www.removepaywall.com/https://www.straitstimes.com/multimedia/graphics/2022/05/china-us-influence-asean-southeast-asia/index.html?shell</v>
      </c>
    </row>
    <row r="38" spans="1:6" ht="15.75" customHeight="1">
      <c r="A38" s="9">
        <v>35</v>
      </c>
      <c r="B38" s="3" t="s">
        <v>423</v>
      </c>
      <c r="C38" s="3" t="s">
        <v>424</v>
      </c>
      <c r="D38" s="10" t="s">
        <v>425</v>
      </c>
      <c r="E38" s="3" t="s">
        <v>78</v>
      </c>
      <c r="F38" s="8" t="str">
        <f t="shared" si="0"/>
        <v>https://www.removepaywall.com/https://www.straitstimes.com/asia/east-asia/malaysia-china-to-have-open-communication-over-south-china-sea-issue-anwar</v>
      </c>
    </row>
    <row r="39" spans="1:6" ht="15.75" customHeight="1">
      <c r="A39" s="9">
        <v>36</v>
      </c>
      <c r="B39" s="3" t="s">
        <v>426</v>
      </c>
      <c r="C39" s="3" t="s">
        <v>427</v>
      </c>
      <c r="D39" s="10" t="s">
        <v>428</v>
      </c>
      <c r="E39" s="3" t="s">
        <v>127</v>
      </c>
      <c r="F39" s="8" t="str">
        <f t="shared" si="0"/>
        <v>https://www.removepaywall.com/https://www.straitstimes.com/asia/se-asia/china-s-premier-urges-asean-to-oppose-new-cold-war-us-v-p-pledges-enduring-commitment-to-region</v>
      </c>
    </row>
    <row r="40" spans="1:6" ht="15.75" customHeight="1">
      <c r="A40" s="9">
        <v>37</v>
      </c>
      <c r="B40" s="3" t="s">
        <v>429</v>
      </c>
      <c r="C40" s="3" t="s">
        <v>430</v>
      </c>
      <c r="D40" s="10" t="s">
        <v>431</v>
      </c>
      <c r="E40" s="3" t="s">
        <v>127</v>
      </c>
      <c r="F40" s="8" t="str">
        <f t="shared" si="0"/>
        <v>https://www.removepaywall.com/https://www.straitstimes.com/asia/se-asia/asean-concerned-over-us-china-relationship-as-tensions-could-stoke-flashpoints-pm-lee</v>
      </c>
    </row>
    <row r="41" spans="1:6" ht="15.75" customHeight="1">
      <c r="A41" s="9">
        <v>38</v>
      </c>
      <c r="B41" s="3" t="s">
        <v>432</v>
      </c>
      <c r="C41" s="3" t="s">
        <v>433</v>
      </c>
      <c r="D41" s="10" t="s">
        <v>434</v>
      </c>
      <c r="E41" s="3" t="s">
        <v>54</v>
      </c>
      <c r="F41" s="8" t="str">
        <f t="shared" si="0"/>
        <v>https://www.removepaywall.com/https://www.straitstimes.com/asia/asean-and-us-elevate-ties-to-a-comprehensive-strategic-partnership</v>
      </c>
    </row>
    <row r="42" spans="1:6" ht="15.75" customHeight="1">
      <c r="A42" s="9">
        <v>39</v>
      </c>
      <c r="B42" s="3" t="s">
        <v>435</v>
      </c>
      <c r="C42" s="3" t="s">
        <v>436</v>
      </c>
      <c r="D42" s="10" t="s">
        <v>437</v>
      </c>
      <c r="E42" s="3" t="s">
        <v>54</v>
      </c>
      <c r="F42" s="8" t="str">
        <f t="shared" si="0"/>
        <v>https://www.removepaywall.com/https://www.straitstimes.com/asia/east-asia/asean-must-remain-united-in-face-of-competition-among-great-powers-ntu-don</v>
      </c>
    </row>
    <row r="43" spans="1:6" ht="15.75" customHeight="1">
      <c r="A43" s="9">
        <v>40</v>
      </c>
      <c r="B43" s="3" t="s">
        <v>438</v>
      </c>
      <c r="C43" s="3" t="s">
        <v>439</v>
      </c>
      <c r="D43" s="10" t="s">
        <v>440</v>
      </c>
      <c r="E43" s="3" t="s">
        <v>262</v>
      </c>
      <c r="F43" s="8" t="str">
        <f t="shared" si="0"/>
        <v>https://www.removepaywall.com/https://www.straitstimes.com/asia/se-asia/asean-has-made-progress-on-its-long-term-goals-and-areas-of-cooperation-says-pm-lee</v>
      </c>
    </row>
    <row r="44" spans="1:6" ht="15.75" customHeight="1">
      <c r="A44" s="9">
        <v>41</v>
      </c>
      <c r="B44" s="3" t="s">
        <v>441</v>
      </c>
      <c r="C44" s="3" t="s">
        <v>442</v>
      </c>
      <c r="D44" s="10" t="s">
        <v>443</v>
      </c>
      <c r="E44" s="3" t="s">
        <v>444</v>
      </c>
      <c r="F44" s="8" t="str">
        <f t="shared" si="0"/>
        <v>https://www.removepaywall.com/https://www.straitstimes.com/asia/se-asia/asean-leaders-to-meet-in-jakarta-for-regional-summit-amid-tensions-over-new-chinese-map</v>
      </c>
    </row>
    <row r="45" spans="1:6" ht="15.75" customHeight="1"/>
    <row r="46" spans="1:6" ht="15.75" customHeight="1"/>
    <row r="47" spans="1:6" ht="15.75" customHeight="1"/>
    <row r="48" spans="1: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D4" r:id="rId1" xr:uid="{00000000-0004-0000-0200-000000000000}"/>
    <hyperlink ref="D5" r:id="rId2" xr:uid="{00000000-0004-0000-0200-000001000000}"/>
    <hyperlink ref="D6" r:id="rId3" xr:uid="{00000000-0004-0000-0200-000002000000}"/>
    <hyperlink ref="D7" r:id="rId4" xr:uid="{00000000-0004-0000-0200-000003000000}"/>
    <hyperlink ref="D8" r:id="rId5" xr:uid="{00000000-0004-0000-0200-000004000000}"/>
    <hyperlink ref="D9" r:id="rId6" xr:uid="{00000000-0004-0000-0200-000005000000}"/>
    <hyperlink ref="D10" r:id="rId7" xr:uid="{00000000-0004-0000-0200-000006000000}"/>
    <hyperlink ref="D11" r:id="rId8" xr:uid="{00000000-0004-0000-0200-000007000000}"/>
    <hyperlink ref="D12" r:id="rId9" xr:uid="{00000000-0004-0000-0200-000008000000}"/>
    <hyperlink ref="D13" r:id="rId10" xr:uid="{00000000-0004-0000-0200-000009000000}"/>
    <hyperlink ref="D14" r:id="rId11" xr:uid="{00000000-0004-0000-0200-00000A000000}"/>
    <hyperlink ref="D15" r:id="rId12" xr:uid="{00000000-0004-0000-0200-00000B000000}"/>
    <hyperlink ref="D16" r:id="rId13" xr:uid="{00000000-0004-0000-0200-00000C000000}"/>
    <hyperlink ref="D17" r:id="rId14" xr:uid="{00000000-0004-0000-0200-00000D000000}"/>
    <hyperlink ref="D18" r:id="rId15" xr:uid="{00000000-0004-0000-0200-00000E000000}"/>
    <hyperlink ref="D19" r:id="rId16" xr:uid="{00000000-0004-0000-0200-00000F000000}"/>
    <hyperlink ref="D20" r:id="rId17" xr:uid="{00000000-0004-0000-0200-000010000000}"/>
    <hyperlink ref="D21" r:id="rId18" xr:uid="{00000000-0004-0000-0200-000011000000}"/>
    <hyperlink ref="D22" r:id="rId19" xr:uid="{00000000-0004-0000-0200-000012000000}"/>
    <hyperlink ref="D23" r:id="rId20" xr:uid="{00000000-0004-0000-0200-000013000000}"/>
    <hyperlink ref="D24" r:id="rId21" xr:uid="{00000000-0004-0000-0200-000014000000}"/>
    <hyperlink ref="D25" r:id="rId22" xr:uid="{00000000-0004-0000-0200-000015000000}"/>
    <hyperlink ref="D26" r:id="rId23" xr:uid="{00000000-0004-0000-0200-000016000000}"/>
    <hyperlink ref="D27" r:id="rId24" xr:uid="{00000000-0004-0000-0200-000017000000}"/>
    <hyperlink ref="D28" r:id="rId25" xr:uid="{00000000-0004-0000-0200-000018000000}"/>
    <hyperlink ref="D29" r:id="rId26" xr:uid="{00000000-0004-0000-0200-000019000000}"/>
    <hyperlink ref="D30" r:id="rId27" xr:uid="{00000000-0004-0000-0200-00001A000000}"/>
    <hyperlink ref="D31" r:id="rId28" xr:uid="{00000000-0004-0000-0200-00001B000000}"/>
    <hyperlink ref="D32" r:id="rId29" xr:uid="{00000000-0004-0000-0200-00001C000000}"/>
    <hyperlink ref="D33" r:id="rId30" xr:uid="{00000000-0004-0000-0200-00001D000000}"/>
    <hyperlink ref="D34" r:id="rId31" xr:uid="{00000000-0004-0000-0200-00001E000000}"/>
    <hyperlink ref="D35" r:id="rId32" xr:uid="{00000000-0004-0000-0200-00001F000000}"/>
    <hyperlink ref="D36" r:id="rId33" xr:uid="{00000000-0004-0000-0200-000020000000}"/>
    <hyperlink ref="D37" r:id="rId34" xr:uid="{00000000-0004-0000-0200-000021000000}"/>
    <hyperlink ref="D38" r:id="rId35" xr:uid="{00000000-0004-0000-0200-000022000000}"/>
    <hyperlink ref="D39" r:id="rId36" xr:uid="{00000000-0004-0000-0200-000023000000}"/>
    <hyperlink ref="D40" r:id="rId37" xr:uid="{00000000-0004-0000-0200-000024000000}"/>
    <hyperlink ref="D41" r:id="rId38" xr:uid="{00000000-0004-0000-0200-000025000000}"/>
    <hyperlink ref="D42" r:id="rId39" xr:uid="{00000000-0004-0000-0200-000026000000}"/>
    <hyperlink ref="D43" r:id="rId40" xr:uid="{00000000-0004-0000-0200-000027000000}"/>
    <hyperlink ref="D44" r:id="rId41" xr:uid="{00000000-0004-0000-0200-000028000000}"/>
  </hyperlinks>
  <pageMargins left="0.7" right="0.7" top="0.75" bottom="0.75" header="0" footer="0"/>
  <pageSetup orientation="landscape"/>
  <tableParts count="1">
    <tablePart r:id="rId4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34"/>
  <sheetViews>
    <sheetView topLeftCell="A28" workbookViewId="0"/>
  </sheetViews>
  <sheetFormatPr defaultColWidth="12.5703125" defaultRowHeight="15" customHeight="1"/>
  <sheetData>
    <row r="1" spans="1:7">
      <c r="A1" s="1" t="s">
        <v>445</v>
      </c>
      <c r="B1" s="1" t="s">
        <v>446</v>
      </c>
      <c r="C1" s="1" t="s">
        <v>447</v>
      </c>
    </row>
    <row r="4" spans="1:7">
      <c r="A4" s="4" t="s">
        <v>1</v>
      </c>
      <c r="C4" s="4" t="s">
        <v>2</v>
      </c>
    </row>
    <row r="5" spans="1:7">
      <c r="A5" s="4">
        <v>1</v>
      </c>
      <c r="B5" s="4" t="e">
        <f ca="1">IMPORTFROMGOOGLE(A1)</f>
        <v>#NAME?</v>
      </c>
      <c r="C5" s="4" t="s">
        <v>448</v>
      </c>
      <c r="D5" s="4" t="s">
        <v>449</v>
      </c>
      <c r="E5" s="11" t="s">
        <v>450</v>
      </c>
      <c r="F5" s="4" t="s">
        <v>127</v>
      </c>
      <c r="G5" s="4" t="s">
        <v>74</v>
      </c>
    </row>
    <row r="6" spans="1:7">
      <c r="A6" s="4">
        <v>2</v>
      </c>
      <c r="B6" s="4" t="s">
        <v>451</v>
      </c>
      <c r="C6" s="4" t="s">
        <v>452</v>
      </c>
      <c r="D6" s="4" t="s">
        <v>453</v>
      </c>
      <c r="E6" s="11" t="s">
        <v>454</v>
      </c>
      <c r="F6" s="4" t="s">
        <v>455</v>
      </c>
      <c r="G6" s="4" t="s">
        <v>74</v>
      </c>
    </row>
    <row r="7" spans="1:7">
      <c r="A7" s="4">
        <v>3</v>
      </c>
      <c r="B7" s="4" t="s">
        <v>451</v>
      </c>
      <c r="C7" s="4" t="s">
        <v>456</v>
      </c>
      <c r="D7" s="4" t="s">
        <v>457</v>
      </c>
      <c r="E7" s="11" t="s">
        <v>458</v>
      </c>
      <c r="F7" s="4" t="s">
        <v>459</v>
      </c>
      <c r="G7" s="4" t="s">
        <v>74</v>
      </c>
    </row>
    <row r="8" spans="1:7">
      <c r="A8" s="4">
        <v>4</v>
      </c>
      <c r="B8" s="4" t="s">
        <v>451</v>
      </c>
      <c r="C8" s="4" t="s">
        <v>460</v>
      </c>
      <c r="D8" s="4" t="s">
        <v>461</v>
      </c>
      <c r="E8" s="11" t="s">
        <v>462</v>
      </c>
      <c r="F8" s="4" t="s">
        <v>463</v>
      </c>
      <c r="G8" s="4" t="s">
        <v>74</v>
      </c>
    </row>
    <row r="9" spans="1:7">
      <c r="A9" s="4">
        <v>5</v>
      </c>
      <c r="B9" s="4" t="s">
        <v>451</v>
      </c>
      <c r="C9" s="4" t="s">
        <v>464</v>
      </c>
      <c r="D9" s="4" t="s">
        <v>465</v>
      </c>
      <c r="E9" s="11" t="s">
        <v>466</v>
      </c>
      <c r="F9" s="4" t="s">
        <v>467</v>
      </c>
      <c r="G9" s="4" t="s">
        <v>74</v>
      </c>
    </row>
    <row r="10" spans="1:7">
      <c r="A10" s="4">
        <v>6</v>
      </c>
      <c r="B10" s="4" t="s">
        <v>451</v>
      </c>
      <c r="C10" s="4" t="s">
        <v>468</v>
      </c>
      <c r="D10" s="4" t="s">
        <v>469</v>
      </c>
      <c r="E10" s="11" t="s">
        <v>470</v>
      </c>
      <c r="F10" s="4" t="s">
        <v>204</v>
      </c>
      <c r="G10" s="4" t="s">
        <v>74</v>
      </c>
    </row>
    <row r="11" spans="1:7">
      <c r="A11" s="4">
        <v>7</v>
      </c>
      <c r="B11" s="4" t="s">
        <v>451</v>
      </c>
      <c r="C11" s="4" t="s">
        <v>471</v>
      </c>
      <c r="D11" s="4" t="s">
        <v>472</v>
      </c>
      <c r="E11" s="11" t="s">
        <v>473</v>
      </c>
      <c r="F11" s="4" t="s">
        <v>474</v>
      </c>
      <c r="G11" s="4" t="s">
        <v>74</v>
      </c>
    </row>
    <row r="12" spans="1:7">
      <c r="A12" s="4">
        <v>8</v>
      </c>
      <c r="B12" s="4" t="s">
        <v>451</v>
      </c>
      <c r="C12" s="4" t="s">
        <v>475</v>
      </c>
      <c r="D12" s="4" t="s">
        <v>476</v>
      </c>
      <c r="E12" s="11" t="s">
        <v>477</v>
      </c>
      <c r="F12" s="4" t="s">
        <v>26</v>
      </c>
      <c r="G12" s="4" t="s">
        <v>74</v>
      </c>
    </row>
    <row r="13" spans="1:7">
      <c r="A13" s="4">
        <v>9</v>
      </c>
      <c r="B13" s="4" t="s">
        <v>451</v>
      </c>
      <c r="C13" s="4" t="s">
        <v>478</v>
      </c>
      <c r="D13" s="4" t="s">
        <v>479</v>
      </c>
      <c r="E13" s="11" t="s">
        <v>480</v>
      </c>
      <c r="F13" s="4" t="s">
        <v>366</v>
      </c>
      <c r="G13" s="4" t="s">
        <v>74</v>
      </c>
    </row>
    <row r="14" spans="1:7">
      <c r="A14" s="4">
        <v>10</v>
      </c>
      <c r="B14" s="4" t="s">
        <v>451</v>
      </c>
      <c r="C14" s="4" t="s">
        <v>481</v>
      </c>
      <c r="D14" s="4" t="s">
        <v>482</v>
      </c>
      <c r="E14" s="11" t="s">
        <v>483</v>
      </c>
      <c r="F14" s="4" t="s">
        <v>484</v>
      </c>
      <c r="G14" s="4" t="s">
        <v>74</v>
      </c>
    </row>
    <row r="15" spans="1:7">
      <c r="B15" s="4" t="e">
        <f ca="1">IMPORTFROMGOOGLE(B1)</f>
        <v>#NAME?</v>
      </c>
      <c r="C15" s="4" t="s">
        <v>485</v>
      </c>
      <c r="D15" s="4" t="s">
        <v>486</v>
      </c>
      <c r="E15" s="11" t="s">
        <v>487</v>
      </c>
      <c r="F15" s="4" t="s">
        <v>488</v>
      </c>
      <c r="G15" s="4" t="s">
        <v>74</v>
      </c>
    </row>
    <row r="16" spans="1:7">
      <c r="B16" s="4" t="s">
        <v>489</v>
      </c>
      <c r="C16" s="4" t="s">
        <v>490</v>
      </c>
      <c r="D16" s="4" t="s">
        <v>491</v>
      </c>
      <c r="E16" s="11" t="s">
        <v>492</v>
      </c>
      <c r="F16" s="4" t="s">
        <v>493</v>
      </c>
      <c r="G16" s="4" t="s">
        <v>74</v>
      </c>
    </row>
    <row r="17" spans="2:7">
      <c r="B17" s="4" t="s">
        <v>489</v>
      </c>
      <c r="C17" s="4" t="s">
        <v>494</v>
      </c>
      <c r="D17" s="4" t="s">
        <v>495</v>
      </c>
      <c r="E17" s="11" t="s">
        <v>496</v>
      </c>
      <c r="F17" s="4" t="s">
        <v>497</v>
      </c>
      <c r="G17" s="4" t="s">
        <v>74</v>
      </c>
    </row>
    <row r="18" spans="2:7">
      <c r="B18" s="4" t="s">
        <v>489</v>
      </c>
      <c r="C18" s="4" t="s">
        <v>498</v>
      </c>
      <c r="D18" s="4" t="s">
        <v>499</v>
      </c>
      <c r="E18" s="11" t="s">
        <v>500</v>
      </c>
      <c r="F18" s="4" t="s">
        <v>501</v>
      </c>
      <c r="G18" s="4" t="s">
        <v>74</v>
      </c>
    </row>
    <row r="19" spans="2:7">
      <c r="B19" s="4" t="s">
        <v>489</v>
      </c>
      <c r="C19" s="4" t="s">
        <v>502</v>
      </c>
      <c r="D19" s="4" t="s">
        <v>503</v>
      </c>
      <c r="E19" s="11" t="s">
        <v>504</v>
      </c>
      <c r="F19" s="4" t="s">
        <v>505</v>
      </c>
      <c r="G19" s="4" t="s">
        <v>74</v>
      </c>
    </row>
    <row r="20" spans="2:7">
      <c r="B20" s="4" t="s">
        <v>489</v>
      </c>
      <c r="C20" s="4" t="s">
        <v>506</v>
      </c>
      <c r="D20" s="4" t="s">
        <v>507</v>
      </c>
      <c r="E20" s="11" t="s">
        <v>508</v>
      </c>
      <c r="F20" s="4" t="s">
        <v>22</v>
      </c>
      <c r="G20" s="4" t="s">
        <v>74</v>
      </c>
    </row>
    <row r="21" spans="2:7">
      <c r="B21" s="4" t="s">
        <v>489</v>
      </c>
      <c r="C21" s="4" t="s">
        <v>509</v>
      </c>
      <c r="D21" s="4" t="s">
        <v>510</v>
      </c>
      <c r="E21" s="11" t="s">
        <v>511</v>
      </c>
      <c r="F21" s="4" t="s">
        <v>512</v>
      </c>
      <c r="G21" s="4" t="s">
        <v>74</v>
      </c>
    </row>
    <row r="22" spans="2:7">
      <c r="B22" s="4" t="s">
        <v>489</v>
      </c>
      <c r="C22" s="4" t="s">
        <v>513</v>
      </c>
      <c r="D22" s="4" t="s">
        <v>514</v>
      </c>
      <c r="E22" s="11" t="s">
        <v>515</v>
      </c>
      <c r="F22" s="4" t="s">
        <v>127</v>
      </c>
      <c r="G22" s="4" t="s">
        <v>74</v>
      </c>
    </row>
    <row r="23" spans="2:7">
      <c r="B23" s="4" t="s">
        <v>489</v>
      </c>
      <c r="C23" s="4" t="s">
        <v>516</v>
      </c>
      <c r="D23" s="4" t="s">
        <v>517</v>
      </c>
      <c r="E23" s="11" t="s">
        <v>518</v>
      </c>
      <c r="F23" s="4" t="s">
        <v>519</v>
      </c>
      <c r="G23" s="4" t="s">
        <v>74</v>
      </c>
    </row>
    <row r="24" spans="2:7">
      <c r="B24" s="4" t="s">
        <v>489</v>
      </c>
      <c r="C24" s="4" t="s">
        <v>520</v>
      </c>
      <c r="D24" s="4" t="s">
        <v>521</v>
      </c>
      <c r="E24" s="11" t="s">
        <v>522</v>
      </c>
      <c r="F24" s="4" t="s">
        <v>523</v>
      </c>
      <c r="G24" s="4" t="s">
        <v>74</v>
      </c>
    </row>
    <row r="25" spans="2:7">
      <c r="C25" s="12" t="s">
        <v>524</v>
      </c>
      <c r="E25" s="13" t="s">
        <v>525</v>
      </c>
      <c r="F25" s="4">
        <v>2024</v>
      </c>
    </row>
    <row r="26" spans="2:7">
      <c r="C26" s="12" t="s">
        <v>526</v>
      </c>
      <c r="E26" s="13" t="s">
        <v>527</v>
      </c>
      <c r="F26" s="4">
        <v>2022</v>
      </c>
    </row>
    <row r="27" spans="2:7">
      <c r="C27" s="12" t="s">
        <v>528</v>
      </c>
      <c r="E27" s="13" t="s">
        <v>529</v>
      </c>
      <c r="F27" s="4">
        <v>2019</v>
      </c>
    </row>
    <row r="28" spans="2:7">
      <c r="C28" s="12" t="s">
        <v>530</v>
      </c>
      <c r="E28" s="13" t="s">
        <v>531</v>
      </c>
      <c r="F28" s="4">
        <v>2023</v>
      </c>
    </row>
    <row r="29" spans="2:7">
      <c r="C29" s="12" t="s">
        <v>524</v>
      </c>
      <c r="E29" s="13" t="s">
        <v>532</v>
      </c>
      <c r="F29" s="4">
        <v>2022</v>
      </c>
    </row>
    <row r="30" spans="2:7">
      <c r="C30" s="12" t="s">
        <v>509</v>
      </c>
      <c r="E30" s="13" t="s">
        <v>511</v>
      </c>
      <c r="F30" s="4">
        <v>2023</v>
      </c>
    </row>
    <row r="31" spans="2:7">
      <c r="C31" s="12" t="s">
        <v>533</v>
      </c>
      <c r="E31" s="13" t="s">
        <v>534</v>
      </c>
      <c r="F31" s="4">
        <v>2013</v>
      </c>
    </row>
    <row r="32" spans="2:7">
      <c r="C32" s="12" t="s">
        <v>535</v>
      </c>
      <c r="E32" s="13" t="s">
        <v>518</v>
      </c>
      <c r="F32" s="4">
        <v>2024</v>
      </c>
    </row>
    <row r="33" spans="3:6">
      <c r="C33" s="12" t="s">
        <v>536</v>
      </c>
      <c r="E33" s="13" t="s">
        <v>537</v>
      </c>
    </row>
    <row r="34" spans="3:6">
      <c r="C34" s="12" t="s">
        <v>538</v>
      </c>
      <c r="E34" s="13" t="s">
        <v>539</v>
      </c>
      <c r="F34" s="4">
        <v>2021</v>
      </c>
    </row>
  </sheetData>
  <hyperlinks>
    <hyperlink ref="A1" r:id="rId1" xr:uid="{00000000-0004-0000-0300-000000000000}"/>
    <hyperlink ref="B1" r:id="rId2" xr:uid="{00000000-0004-0000-0300-000001000000}"/>
    <hyperlink ref="C1" r:id="rId3" xr:uid="{00000000-0004-0000-0300-000002000000}"/>
    <hyperlink ref="E5" r:id="rId4" xr:uid="{00000000-0004-0000-0300-000003000000}"/>
    <hyperlink ref="E6" r:id="rId5" xr:uid="{00000000-0004-0000-0300-000004000000}"/>
    <hyperlink ref="E7" r:id="rId6" xr:uid="{00000000-0004-0000-0300-000005000000}"/>
    <hyperlink ref="E8" r:id="rId7" xr:uid="{00000000-0004-0000-0300-000006000000}"/>
    <hyperlink ref="E9" r:id="rId8" xr:uid="{00000000-0004-0000-0300-000007000000}"/>
    <hyperlink ref="E10" r:id="rId9" xr:uid="{00000000-0004-0000-0300-000008000000}"/>
    <hyperlink ref="E11" r:id="rId10" xr:uid="{00000000-0004-0000-0300-000009000000}"/>
    <hyperlink ref="E12" r:id="rId11" xr:uid="{00000000-0004-0000-0300-00000A000000}"/>
    <hyperlink ref="E13" r:id="rId12" xr:uid="{00000000-0004-0000-0300-00000B000000}"/>
    <hyperlink ref="E14" r:id="rId13" xr:uid="{00000000-0004-0000-0300-00000C000000}"/>
    <hyperlink ref="E15" r:id="rId14" xr:uid="{00000000-0004-0000-0300-00000D000000}"/>
    <hyperlink ref="E16" r:id="rId15" xr:uid="{00000000-0004-0000-0300-00000E000000}"/>
    <hyperlink ref="E17" r:id="rId16" xr:uid="{00000000-0004-0000-0300-00000F000000}"/>
    <hyperlink ref="E18" r:id="rId17" xr:uid="{00000000-0004-0000-0300-000010000000}"/>
    <hyperlink ref="E19" r:id="rId18" xr:uid="{00000000-0004-0000-0300-000011000000}"/>
    <hyperlink ref="E20" r:id="rId19" xr:uid="{00000000-0004-0000-0300-000012000000}"/>
    <hyperlink ref="E21" r:id="rId20" xr:uid="{00000000-0004-0000-0300-000013000000}"/>
    <hyperlink ref="E22" r:id="rId21" xr:uid="{00000000-0004-0000-0300-000014000000}"/>
    <hyperlink ref="E23" r:id="rId22" xr:uid="{00000000-0004-0000-0300-000015000000}"/>
    <hyperlink ref="E24" r:id="rId23" xr:uid="{00000000-0004-0000-0300-000016000000}"/>
    <hyperlink ref="E25" r:id="rId24" xr:uid="{00000000-0004-0000-0300-000017000000}"/>
    <hyperlink ref="E26" r:id="rId25" xr:uid="{00000000-0004-0000-0300-000018000000}"/>
    <hyperlink ref="E27" r:id="rId26" xr:uid="{00000000-0004-0000-0300-000019000000}"/>
    <hyperlink ref="E28" r:id="rId27" xr:uid="{00000000-0004-0000-0300-00001A000000}"/>
    <hyperlink ref="E29" r:id="rId28" xr:uid="{00000000-0004-0000-0300-00001B000000}"/>
    <hyperlink ref="E30" r:id="rId29" xr:uid="{00000000-0004-0000-0300-00001C000000}"/>
    <hyperlink ref="E31" r:id="rId30" xr:uid="{00000000-0004-0000-0300-00001D000000}"/>
    <hyperlink ref="E32" r:id="rId31" xr:uid="{00000000-0004-0000-0300-00001E000000}"/>
    <hyperlink ref="E33" r:id="rId32" xr:uid="{00000000-0004-0000-0300-00001F000000}"/>
    <hyperlink ref="E34" r:id="rId33" xr:uid="{00000000-0004-0000-0300-00002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12A36-19E4-4524-BC19-6BF849FB971A}">
  <dimension ref="B2:F17"/>
  <sheetViews>
    <sheetView tabSelected="1" workbookViewId="0">
      <selection activeCell="R16" sqref="R16"/>
    </sheetView>
  </sheetViews>
  <sheetFormatPr defaultRowHeight="12.75"/>
  <cols>
    <col min="5" max="5" width="16.5703125" customWidth="1"/>
  </cols>
  <sheetData>
    <row r="2" spans="2:5">
      <c r="B2" s="22" t="s">
        <v>615</v>
      </c>
      <c r="C2" s="23" t="s">
        <v>1302</v>
      </c>
      <c r="D2" s="23" t="s">
        <v>1303</v>
      </c>
      <c r="E2" s="26" t="s">
        <v>1304</v>
      </c>
    </row>
    <row r="3" spans="2:5">
      <c r="B3" s="24">
        <v>2011</v>
      </c>
      <c r="C3" s="27">
        <v>3</v>
      </c>
      <c r="D3" s="29">
        <v>1</v>
      </c>
      <c r="E3" s="31">
        <v>0</v>
      </c>
    </row>
    <row r="4" spans="2:5">
      <c r="B4" s="24">
        <v>2012</v>
      </c>
      <c r="C4" s="27">
        <v>3</v>
      </c>
      <c r="D4" s="29">
        <v>0</v>
      </c>
      <c r="E4" s="31">
        <v>1</v>
      </c>
    </row>
    <row r="5" spans="2:5">
      <c r="B5" s="24">
        <v>2013</v>
      </c>
      <c r="C5" s="27">
        <v>3</v>
      </c>
      <c r="D5" s="29">
        <v>2</v>
      </c>
      <c r="E5" s="31">
        <v>6</v>
      </c>
    </row>
    <row r="6" spans="2:5">
      <c r="B6" s="24">
        <v>2014</v>
      </c>
      <c r="C6" s="27">
        <v>5</v>
      </c>
      <c r="D6" s="29">
        <v>2</v>
      </c>
      <c r="E6" s="31">
        <v>1</v>
      </c>
    </row>
    <row r="7" spans="2:5">
      <c r="B7" s="24">
        <v>2015</v>
      </c>
      <c r="C7" s="27">
        <v>4</v>
      </c>
      <c r="D7" s="29">
        <v>5</v>
      </c>
      <c r="E7" s="31">
        <v>4</v>
      </c>
    </row>
    <row r="8" spans="2:5">
      <c r="B8" s="24">
        <v>2016</v>
      </c>
      <c r="C8" s="27">
        <v>3</v>
      </c>
      <c r="D8" s="29">
        <v>6</v>
      </c>
      <c r="E8" s="31">
        <v>7</v>
      </c>
    </row>
    <row r="9" spans="2:5">
      <c r="B9" s="24">
        <v>2017</v>
      </c>
      <c r="C9" s="27">
        <v>3</v>
      </c>
      <c r="D9" s="29">
        <v>6</v>
      </c>
      <c r="E9" s="31">
        <v>6</v>
      </c>
    </row>
    <row r="10" spans="2:5">
      <c r="B10" s="24">
        <v>2018</v>
      </c>
      <c r="C10" s="27">
        <v>2</v>
      </c>
      <c r="D10" s="29">
        <v>10</v>
      </c>
      <c r="E10" s="31">
        <v>6</v>
      </c>
    </row>
    <row r="11" spans="2:5">
      <c r="B11" s="24">
        <v>2019</v>
      </c>
      <c r="C11" s="27">
        <v>4</v>
      </c>
      <c r="D11" s="29">
        <v>3</v>
      </c>
      <c r="E11" s="31">
        <v>8</v>
      </c>
    </row>
    <row r="12" spans="2:5">
      <c r="B12" s="24">
        <v>2020</v>
      </c>
      <c r="C12" s="27">
        <v>0</v>
      </c>
      <c r="D12" s="29">
        <v>8</v>
      </c>
      <c r="E12" s="31">
        <v>5</v>
      </c>
    </row>
    <row r="13" spans="2:5">
      <c r="B13" s="24">
        <v>2021</v>
      </c>
      <c r="C13" s="27">
        <v>3</v>
      </c>
      <c r="D13" s="29">
        <v>6</v>
      </c>
      <c r="E13" s="31">
        <v>12</v>
      </c>
    </row>
    <row r="14" spans="2:5">
      <c r="B14" s="24">
        <v>2022</v>
      </c>
      <c r="C14" s="27">
        <v>4</v>
      </c>
      <c r="D14" s="29">
        <v>2</v>
      </c>
      <c r="E14" s="31">
        <v>11</v>
      </c>
    </row>
    <row r="15" spans="2:5">
      <c r="B15" s="25">
        <v>2023</v>
      </c>
      <c r="C15" s="28">
        <v>6</v>
      </c>
      <c r="D15" s="30">
        <v>22</v>
      </c>
      <c r="E15" s="32">
        <v>19</v>
      </c>
    </row>
    <row r="16" spans="2:5">
      <c r="B16" s="24">
        <v>2024</v>
      </c>
      <c r="C16" s="27">
        <v>6</v>
      </c>
      <c r="D16" s="29">
        <v>11</v>
      </c>
      <c r="E16" s="31">
        <v>12</v>
      </c>
    </row>
    <row r="17" spans="2:6">
      <c r="B17" s="52" t="s">
        <v>1197</v>
      </c>
      <c r="C17" s="53">
        <f>SUM(C3:C16)</f>
        <v>49</v>
      </c>
      <c r="D17" s="54">
        <f>SUM(D3:D16)</f>
        <v>84</v>
      </c>
      <c r="E17" s="55">
        <f>SUM(E3:E16)</f>
        <v>98</v>
      </c>
      <c r="F17" s="56">
        <f>SUM(Table7[[#This Row],[Documents]:[Scholarly Articles]])</f>
        <v>231</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50"/>
  <sheetViews>
    <sheetView workbookViewId="0">
      <selection activeCell="A48" sqref="A48"/>
    </sheetView>
  </sheetViews>
  <sheetFormatPr defaultColWidth="12.5703125" defaultRowHeight="15" customHeight="1"/>
  <cols>
    <col min="1" max="1" width="109.28515625" customWidth="1"/>
    <col min="2" max="2" width="44.5703125" customWidth="1"/>
    <col min="5" max="5" width="12.85546875" bestFit="1" customWidth="1"/>
    <col min="6" max="6" width="12" bestFit="1" customWidth="1"/>
    <col min="7" max="7" width="12.85546875" bestFit="1" customWidth="1"/>
    <col min="8" max="8" width="12" bestFit="1" customWidth="1"/>
  </cols>
  <sheetData>
    <row r="1" spans="1:3" ht="12.75">
      <c r="A1" s="33" t="s">
        <v>2</v>
      </c>
      <c r="B1" s="34" t="s">
        <v>540</v>
      </c>
      <c r="C1" s="35" t="s">
        <v>541</v>
      </c>
    </row>
    <row r="2" spans="1:3" ht="12.75">
      <c r="A2" s="36" t="s">
        <v>542</v>
      </c>
      <c r="B2" s="37" t="s">
        <v>543</v>
      </c>
      <c r="C2" s="38">
        <v>2011</v>
      </c>
    </row>
    <row r="3" spans="1:3" ht="12.75">
      <c r="A3" s="36" t="s">
        <v>544</v>
      </c>
      <c r="B3" s="37" t="s">
        <v>543</v>
      </c>
      <c r="C3" s="38">
        <v>2011</v>
      </c>
    </row>
    <row r="4" spans="1:3" ht="12.75">
      <c r="A4" s="36" t="s">
        <v>545</v>
      </c>
      <c r="B4" s="37" t="s">
        <v>543</v>
      </c>
      <c r="C4" s="38">
        <v>2011</v>
      </c>
    </row>
    <row r="5" spans="1:3" ht="12.75">
      <c r="A5" s="36" t="s">
        <v>547</v>
      </c>
      <c r="B5" s="37" t="s">
        <v>546</v>
      </c>
      <c r="C5" s="38">
        <v>2012</v>
      </c>
    </row>
    <row r="6" spans="1:3" ht="12.75">
      <c r="A6" s="36" t="s">
        <v>548</v>
      </c>
      <c r="B6" s="37" t="s">
        <v>546</v>
      </c>
      <c r="C6" s="38">
        <v>2012</v>
      </c>
    </row>
    <row r="7" spans="1:3" ht="12.75">
      <c r="A7" s="36" t="s">
        <v>549</v>
      </c>
      <c r="B7" s="37" t="s">
        <v>546</v>
      </c>
      <c r="C7" s="38">
        <v>2012</v>
      </c>
    </row>
    <row r="8" spans="1:3" ht="12.75">
      <c r="A8" s="36" t="s">
        <v>550</v>
      </c>
      <c r="B8" s="37" t="s">
        <v>551</v>
      </c>
      <c r="C8" s="38">
        <v>2013</v>
      </c>
    </row>
    <row r="9" spans="1:3" ht="12.75">
      <c r="A9" s="36" t="s">
        <v>1306</v>
      </c>
      <c r="B9" s="37" t="s">
        <v>551</v>
      </c>
      <c r="C9" s="38">
        <v>2013</v>
      </c>
    </row>
    <row r="10" spans="1:3" ht="12.75">
      <c r="A10" s="36" t="s">
        <v>552</v>
      </c>
      <c r="B10" s="37" t="s">
        <v>551</v>
      </c>
      <c r="C10" s="38">
        <v>2013</v>
      </c>
    </row>
    <row r="11" spans="1:3" ht="12.75">
      <c r="A11" s="36" t="s">
        <v>1307</v>
      </c>
      <c r="B11" s="82" t="s">
        <v>487</v>
      </c>
      <c r="C11" s="38">
        <v>2014</v>
      </c>
    </row>
    <row r="12" spans="1:3" ht="12.75">
      <c r="A12" s="36" t="s">
        <v>553</v>
      </c>
      <c r="B12" s="37" t="s">
        <v>554</v>
      </c>
      <c r="C12" s="38">
        <v>2014</v>
      </c>
    </row>
    <row r="13" spans="1:3" ht="12.75">
      <c r="A13" s="36" t="s">
        <v>1308</v>
      </c>
      <c r="B13" s="37" t="s">
        <v>554</v>
      </c>
      <c r="C13" s="38">
        <v>2014</v>
      </c>
    </row>
    <row r="14" spans="1:3" ht="12.75">
      <c r="A14" s="36" t="s">
        <v>555</v>
      </c>
      <c r="B14" s="37" t="s">
        <v>554</v>
      </c>
      <c r="C14" s="38">
        <v>2014</v>
      </c>
    </row>
    <row r="15" spans="1:3" ht="12.75">
      <c r="A15" s="36" t="s">
        <v>556</v>
      </c>
      <c r="B15" s="37" t="s">
        <v>554</v>
      </c>
      <c r="C15" s="38">
        <v>2014</v>
      </c>
    </row>
    <row r="16" spans="1:3" ht="12.75">
      <c r="A16" s="36" t="s">
        <v>557</v>
      </c>
      <c r="B16" s="37" t="s">
        <v>558</v>
      </c>
      <c r="C16" s="38">
        <v>2015</v>
      </c>
    </row>
    <row r="17" spans="1:3" ht="12.75">
      <c r="A17" s="36" t="s">
        <v>559</v>
      </c>
      <c r="B17" s="37" t="s">
        <v>558</v>
      </c>
      <c r="C17" s="38">
        <v>2015</v>
      </c>
    </row>
    <row r="18" spans="1:3" ht="12.75">
      <c r="A18" s="36" t="s">
        <v>560</v>
      </c>
      <c r="B18" s="37" t="s">
        <v>558</v>
      </c>
      <c r="C18" s="38">
        <v>2015</v>
      </c>
    </row>
    <row r="19" spans="1:3" ht="12.75">
      <c r="A19" s="36" t="s">
        <v>561</v>
      </c>
      <c r="B19" s="37" t="s">
        <v>558</v>
      </c>
      <c r="C19" s="38">
        <v>2015</v>
      </c>
    </row>
    <row r="20" spans="1:3" ht="12.75">
      <c r="A20" s="36" t="s">
        <v>562</v>
      </c>
      <c r="B20" s="37" t="s">
        <v>563</v>
      </c>
      <c r="C20" s="38">
        <v>2016</v>
      </c>
    </row>
    <row r="21" spans="1:3" ht="12.75">
      <c r="A21" s="36" t="s">
        <v>564</v>
      </c>
      <c r="B21" s="37" t="s">
        <v>563</v>
      </c>
      <c r="C21" s="38">
        <v>2016</v>
      </c>
    </row>
    <row r="22" spans="1:3" ht="12.75">
      <c r="A22" s="36" t="s">
        <v>565</v>
      </c>
      <c r="B22" s="37" t="s">
        <v>563</v>
      </c>
      <c r="C22" s="38">
        <v>2016</v>
      </c>
    </row>
    <row r="23" spans="1:3" ht="12.75">
      <c r="A23" s="36" t="s">
        <v>478</v>
      </c>
      <c r="B23" s="39" t="s">
        <v>480</v>
      </c>
      <c r="C23" s="38">
        <v>2017</v>
      </c>
    </row>
    <row r="24" spans="1:3" ht="15" customHeight="1">
      <c r="A24" s="40" t="s">
        <v>586</v>
      </c>
      <c r="B24" s="41" t="s">
        <v>589</v>
      </c>
      <c r="C24" s="42">
        <v>2017</v>
      </c>
    </row>
    <row r="25" spans="1:3" ht="12.75">
      <c r="A25" s="43" t="s">
        <v>587</v>
      </c>
      <c r="B25" s="41" t="s">
        <v>588</v>
      </c>
      <c r="C25" s="42">
        <v>2017</v>
      </c>
    </row>
    <row r="26" spans="1:3" ht="12.75">
      <c r="A26" s="36" t="s">
        <v>475</v>
      </c>
      <c r="B26" s="39" t="s">
        <v>477</v>
      </c>
      <c r="C26" s="38">
        <v>2018</v>
      </c>
    </row>
    <row r="27" spans="1:3" ht="12.75">
      <c r="A27" s="43" t="s">
        <v>591</v>
      </c>
      <c r="B27" s="41" t="s">
        <v>592</v>
      </c>
      <c r="C27" s="42">
        <v>2018</v>
      </c>
    </row>
    <row r="28" spans="1:3" ht="12.75">
      <c r="A28" s="36" t="s">
        <v>528</v>
      </c>
      <c r="B28" s="39" t="s">
        <v>529</v>
      </c>
      <c r="C28" s="38">
        <v>2019</v>
      </c>
    </row>
    <row r="29" spans="1:3" ht="12.75">
      <c r="A29" s="43" t="s">
        <v>594</v>
      </c>
      <c r="B29" s="44" t="s">
        <v>593</v>
      </c>
      <c r="C29" s="42">
        <v>2019</v>
      </c>
    </row>
    <row r="30" spans="1:3" ht="12.75">
      <c r="A30" s="43" t="s">
        <v>596</v>
      </c>
      <c r="B30" s="44" t="s">
        <v>595</v>
      </c>
      <c r="C30" s="42">
        <v>2019</v>
      </c>
    </row>
    <row r="31" spans="1:3" ht="12.75">
      <c r="A31" s="43" t="s">
        <v>597</v>
      </c>
      <c r="B31" s="41" t="s">
        <v>598</v>
      </c>
      <c r="C31" s="42">
        <v>2019</v>
      </c>
    </row>
    <row r="32" spans="1:3" ht="12.75">
      <c r="A32" s="36" t="s">
        <v>468</v>
      </c>
      <c r="B32" s="39" t="s">
        <v>470</v>
      </c>
      <c r="C32" s="38">
        <v>2021</v>
      </c>
    </row>
    <row r="33" spans="1:3" ht="12.75">
      <c r="A33" s="36" t="s">
        <v>585</v>
      </c>
      <c r="B33" s="39" t="s">
        <v>522</v>
      </c>
      <c r="C33" s="38">
        <v>2021</v>
      </c>
    </row>
    <row r="34" spans="1:3" ht="12.75">
      <c r="A34" s="43" t="s">
        <v>590</v>
      </c>
      <c r="B34" s="44" t="s">
        <v>470</v>
      </c>
      <c r="C34" s="42">
        <v>2021</v>
      </c>
    </row>
    <row r="35" spans="1:3" ht="12.75">
      <c r="A35" s="36" t="s">
        <v>456</v>
      </c>
      <c r="B35" s="39" t="s">
        <v>458</v>
      </c>
      <c r="C35" s="38">
        <v>2022</v>
      </c>
    </row>
    <row r="36" spans="1:3" ht="12.75">
      <c r="A36" s="36" t="s">
        <v>464</v>
      </c>
      <c r="B36" s="39" t="s">
        <v>466</v>
      </c>
      <c r="C36" s="38">
        <v>2022</v>
      </c>
    </row>
    <row r="37" spans="1:3" ht="12.75">
      <c r="A37" s="36" t="s">
        <v>526</v>
      </c>
      <c r="B37" s="39" t="s">
        <v>527</v>
      </c>
      <c r="C37" s="38">
        <v>2022</v>
      </c>
    </row>
    <row r="38" spans="1:3" ht="12.75">
      <c r="A38" s="36" t="s">
        <v>584</v>
      </c>
      <c r="B38" s="45" t="s">
        <v>532</v>
      </c>
      <c r="C38" s="38">
        <v>2022</v>
      </c>
    </row>
    <row r="39" spans="1:3" ht="12.75">
      <c r="A39" s="36" t="s">
        <v>448</v>
      </c>
      <c r="B39" s="39" t="s">
        <v>450</v>
      </c>
      <c r="C39" s="38">
        <v>2023</v>
      </c>
    </row>
    <row r="40" spans="1:3" ht="12.75">
      <c r="A40" s="36" t="s">
        <v>471</v>
      </c>
      <c r="B40" s="39" t="s">
        <v>473</v>
      </c>
      <c r="C40" s="38">
        <v>2023</v>
      </c>
    </row>
    <row r="41" spans="1:3" ht="12.75">
      <c r="A41" s="36" t="s">
        <v>579</v>
      </c>
      <c r="B41" s="39" t="s">
        <v>511</v>
      </c>
      <c r="C41" s="38">
        <v>2023</v>
      </c>
    </row>
    <row r="42" spans="1:3" ht="12.75">
      <c r="A42" s="36" t="s">
        <v>513</v>
      </c>
      <c r="B42" s="39" t="s">
        <v>515</v>
      </c>
      <c r="C42" s="38">
        <v>2023</v>
      </c>
    </row>
    <row r="43" spans="1:3" ht="12.75">
      <c r="A43" s="36" t="s">
        <v>580</v>
      </c>
      <c r="B43" s="39" t="s">
        <v>531</v>
      </c>
      <c r="C43" s="38">
        <v>2023</v>
      </c>
    </row>
    <row r="44" spans="1:3" ht="15" customHeight="1">
      <c r="A44" s="36" t="s">
        <v>579</v>
      </c>
      <c r="B44" s="39" t="s">
        <v>511</v>
      </c>
      <c r="C44" s="38">
        <v>2023</v>
      </c>
    </row>
    <row r="45" spans="1:3" ht="15" customHeight="1">
      <c r="A45" s="36" t="s">
        <v>452</v>
      </c>
      <c r="B45" s="39" t="s">
        <v>454</v>
      </c>
      <c r="C45" s="38">
        <v>2024</v>
      </c>
    </row>
    <row r="46" spans="1:3" ht="15" customHeight="1">
      <c r="A46" s="36" t="s">
        <v>578</v>
      </c>
      <c r="B46" s="45" t="s">
        <v>462</v>
      </c>
      <c r="C46" s="38">
        <v>2024</v>
      </c>
    </row>
    <row r="47" spans="1:3" ht="15" customHeight="1">
      <c r="A47" s="36" t="s">
        <v>577</v>
      </c>
      <c r="B47" s="45" t="s">
        <v>496</v>
      </c>
      <c r="C47" s="38">
        <v>2024</v>
      </c>
    </row>
    <row r="48" spans="1:3" ht="15" customHeight="1">
      <c r="A48" s="36" t="s">
        <v>583</v>
      </c>
      <c r="B48" s="45" t="s">
        <v>504</v>
      </c>
      <c r="C48" s="38">
        <v>2024</v>
      </c>
    </row>
    <row r="49" spans="1:3" ht="15" customHeight="1">
      <c r="A49" s="36" t="s">
        <v>581</v>
      </c>
      <c r="B49" s="45" t="s">
        <v>518</v>
      </c>
      <c r="C49" s="38">
        <v>2024</v>
      </c>
    </row>
    <row r="50" spans="1:3" ht="15" customHeight="1">
      <c r="A50" s="36" t="s">
        <v>582</v>
      </c>
      <c r="B50" s="45" t="s">
        <v>525</v>
      </c>
      <c r="C50" s="38">
        <v>2024</v>
      </c>
    </row>
  </sheetData>
  <hyperlinks>
    <hyperlink ref="B2" r:id="rId1" xr:uid="{00000000-0004-0000-0400-000000000000}"/>
    <hyperlink ref="B3" r:id="rId2" xr:uid="{00000000-0004-0000-0400-000003000000}"/>
    <hyperlink ref="B4" r:id="rId3" xr:uid="{00000000-0004-0000-0400-000006000000}"/>
    <hyperlink ref="B5" r:id="rId4" xr:uid="{00000000-0004-0000-0400-000009000000}"/>
    <hyperlink ref="B6" r:id="rId5" xr:uid="{00000000-0004-0000-0400-00000A000000}"/>
    <hyperlink ref="B7" r:id="rId6" xr:uid="{00000000-0004-0000-0400-00000B000000}"/>
    <hyperlink ref="B8" r:id="rId7" xr:uid="{00000000-0004-0000-0400-00000D000000}"/>
    <hyperlink ref="B10" r:id="rId8" xr:uid="{00000000-0004-0000-0400-000010000000}"/>
    <hyperlink ref="B12" r:id="rId9" xr:uid="{00000000-0004-0000-0400-000013000000}"/>
    <hyperlink ref="B14" r:id="rId10" xr:uid="{00000000-0004-0000-0400-000016000000}"/>
    <hyperlink ref="B15" r:id="rId11" xr:uid="{00000000-0004-0000-0400-000018000000}"/>
    <hyperlink ref="B16" r:id="rId12" xr:uid="{00000000-0004-0000-0400-00001A000000}"/>
    <hyperlink ref="B17" r:id="rId13" xr:uid="{00000000-0004-0000-0400-00001B000000}"/>
    <hyperlink ref="B18" r:id="rId14" xr:uid="{00000000-0004-0000-0400-00001E000000}"/>
    <hyperlink ref="B19" r:id="rId15" xr:uid="{00000000-0004-0000-0400-00001F000000}"/>
    <hyperlink ref="B20" r:id="rId16" xr:uid="{00000000-0004-0000-0400-000020000000}"/>
    <hyperlink ref="B21" r:id="rId17" xr:uid="{00000000-0004-0000-0400-000023000000}"/>
    <hyperlink ref="B22" r:id="rId18" xr:uid="{00000000-0004-0000-0400-000024000000}"/>
    <hyperlink ref="B47" r:id="rId19" xr:uid="{4CB2FAB0-A216-48DB-932B-3C972B29E2D5}"/>
    <hyperlink ref="B46" r:id="rId20" xr:uid="{2B9F304E-6830-40F2-81BE-CD5108047D5A}"/>
    <hyperlink ref="B50" r:id="rId21" xr:uid="{C07D0219-6418-42EA-B462-FB47310AD6D2}"/>
    <hyperlink ref="B49" r:id="rId22" xr:uid="{208D8013-C900-4D24-B3C6-2B057CEC2D3A}"/>
    <hyperlink ref="B48" r:id="rId23" xr:uid="{C9A993E8-1AC1-4CFA-8D3B-A1761165D6D2}"/>
    <hyperlink ref="B38" r:id="rId24" xr:uid="{7620D2AF-6DA1-43EB-BD83-08331DA21069}"/>
    <hyperlink ref="B34" r:id="rId25" xr:uid="{50C1D9B2-94BF-4903-8555-9BC22AF7C7AB}"/>
    <hyperlink ref="B29" r:id="rId26" xr:uid="{1872CE05-C770-4148-B5C1-6C8D54696063}"/>
    <hyperlink ref="B30" r:id="rId27" xr:uid="{4736706E-2F68-4FE8-9A56-D9225089553C}"/>
    <hyperlink ref="B9" r:id="rId28" xr:uid="{4A6A7E5B-B349-46E8-B69B-BD65DD5826A6}"/>
    <hyperlink ref="B11" r:id="rId29" xr:uid="{188081A7-ECE4-4E11-927F-4C904D15F46A}"/>
    <hyperlink ref="B13" r:id="rId30" xr:uid="{9A8424BB-9DB7-40E8-A57F-35CB91AA3C54}"/>
  </hyperlinks>
  <pageMargins left="0.7" right="0.7" top="0.75" bottom="0.75" header="0.3" footer="0.3"/>
  <tableParts count="1">
    <tablePart r:id="rId3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38620-CA91-4C64-92BD-CE3B5B911497}">
  <dimension ref="A1:E85"/>
  <sheetViews>
    <sheetView topLeftCell="A10" workbookViewId="0">
      <selection activeCell="E10" sqref="E10"/>
    </sheetView>
  </sheetViews>
  <sheetFormatPr defaultRowHeight="12.75"/>
  <cols>
    <col min="1" max="1" width="5.42578125" customWidth="1"/>
    <col min="2" max="2" width="58.42578125" customWidth="1"/>
    <col min="3" max="3" width="25.28515625" customWidth="1"/>
    <col min="4" max="4" width="25" style="78" customWidth="1"/>
    <col min="5" max="5" width="24.28515625" style="73" customWidth="1"/>
    <col min="7" max="7" width="12.85546875" bestFit="1" customWidth="1"/>
    <col min="8" max="8" width="18.85546875" bestFit="1" customWidth="1"/>
  </cols>
  <sheetData>
    <row r="1" spans="1:5">
      <c r="A1" s="65" t="s">
        <v>1</v>
      </c>
      <c r="B1" s="66" t="s">
        <v>2</v>
      </c>
      <c r="C1" s="66" t="s">
        <v>4</v>
      </c>
      <c r="D1" s="74" t="s">
        <v>5</v>
      </c>
      <c r="E1" s="67" t="s">
        <v>1305</v>
      </c>
    </row>
    <row r="2" spans="1:5">
      <c r="A2" s="43">
        <v>1</v>
      </c>
      <c r="B2" s="60" t="s">
        <v>11</v>
      </c>
      <c r="C2" s="60" t="s">
        <v>13</v>
      </c>
      <c r="D2" s="75">
        <v>40838</v>
      </c>
      <c r="E2" s="68" t="s">
        <v>1198</v>
      </c>
    </row>
    <row r="3" spans="1:5">
      <c r="A3" s="43">
        <v>2</v>
      </c>
      <c r="B3" s="69" t="s">
        <v>307</v>
      </c>
      <c r="C3" s="69" t="s">
        <v>309</v>
      </c>
      <c r="D3" s="76">
        <v>41468</v>
      </c>
      <c r="E3" s="70" t="s">
        <v>1199</v>
      </c>
    </row>
    <row r="4" spans="1:5">
      <c r="A4" s="43">
        <v>3</v>
      </c>
      <c r="B4" s="69" t="s">
        <v>15</v>
      </c>
      <c r="C4" s="69" t="s">
        <v>17</v>
      </c>
      <c r="D4" s="76">
        <v>41551</v>
      </c>
      <c r="E4" s="71" t="s">
        <v>1200</v>
      </c>
    </row>
    <row r="5" spans="1:5">
      <c r="A5" s="43">
        <v>4</v>
      </c>
      <c r="B5" s="60" t="s">
        <v>133</v>
      </c>
      <c r="C5" s="60" t="s">
        <v>135</v>
      </c>
      <c r="D5" s="75">
        <v>41779</v>
      </c>
      <c r="E5" s="68" t="s">
        <v>1201</v>
      </c>
    </row>
    <row r="6" spans="1:5">
      <c r="A6" s="43">
        <v>5</v>
      </c>
      <c r="B6" s="60" t="s">
        <v>149</v>
      </c>
      <c r="C6" s="60" t="s">
        <v>151</v>
      </c>
      <c r="D6" s="75">
        <v>41866</v>
      </c>
      <c r="E6" s="68" t="s">
        <v>1202</v>
      </c>
    </row>
    <row r="7" spans="1:5">
      <c r="A7" s="43">
        <v>6</v>
      </c>
      <c r="B7" s="60" t="s">
        <v>295</v>
      </c>
      <c r="C7" s="60" t="s">
        <v>297</v>
      </c>
      <c r="D7" s="75">
        <v>42068</v>
      </c>
      <c r="E7" s="68" t="s">
        <v>1203</v>
      </c>
    </row>
    <row r="8" spans="1:5">
      <c r="A8" s="43">
        <v>7</v>
      </c>
      <c r="B8" s="69" t="s">
        <v>137</v>
      </c>
      <c r="C8" s="69" t="s">
        <v>139</v>
      </c>
      <c r="D8" s="76">
        <v>42074</v>
      </c>
      <c r="E8" s="71" t="s">
        <v>1204</v>
      </c>
    </row>
    <row r="9" spans="1:5">
      <c r="A9" s="43">
        <v>8</v>
      </c>
      <c r="B9" s="60" t="s">
        <v>303</v>
      </c>
      <c r="C9" s="60" t="s">
        <v>305</v>
      </c>
      <c r="D9" s="75">
        <v>42188</v>
      </c>
      <c r="E9" s="68" t="s">
        <v>1205</v>
      </c>
    </row>
    <row r="10" spans="1:5">
      <c r="A10" s="43">
        <v>9</v>
      </c>
      <c r="B10" s="60" t="s">
        <v>141</v>
      </c>
      <c r="C10" s="60" t="s">
        <v>143</v>
      </c>
      <c r="D10" s="75">
        <v>42215</v>
      </c>
      <c r="E10" s="61" t="s">
        <v>1206</v>
      </c>
    </row>
    <row r="11" spans="1:5">
      <c r="A11" s="43">
        <v>10</v>
      </c>
      <c r="B11" s="60" t="s">
        <v>19</v>
      </c>
      <c r="C11" s="60" t="s">
        <v>21</v>
      </c>
      <c r="D11" s="75">
        <v>42329</v>
      </c>
      <c r="E11" s="68" t="s">
        <v>1207</v>
      </c>
    </row>
    <row r="12" spans="1:5">
      <c r="A12" s="43">
        <v>11</v>
      </c>
      <c r="B12" s="72" t="s">
        <v>601</v>
      </c>
      <c r="C12" s="58" t="s">
        <v>602</v>
      </c>
      <c r="D12" s="75">
        <v>42406</v>
      </c>
      <c r="E12" s="68" t="s">
        <v>1208</v>
      </c>
    </row>
    <row r="13" spans="1:5">
      <c r="A13" s="43">
        <v>12</v>
      </c>
      <c r="B13" s="60" t="s">
        <v>341</v>
      </c>
      <c r="C13" s="60" t="s">
        <v>343</v>
      </c>
      <c r="D13" s="75">
        <v>42424</v>
      </c>
      <c r="E13" s="68" t="s">
        <v>1209</v>
      </c>
    </row>
    <row r="14" spans="1:5">
      <c r="A14" s="43">
        <v>13</v>
      </c>
      <c r="B14" s="69" t="s">
        <v>352</v>
      </c>
      <c r="C14" s="69" t="s">
        <v>354</v>
      </c>
      <c r="D14" s="76">
        <v>42523</v>
      </c>
      <c r="E14" s="71" t="s">
        <v>1210</v>
      </c>
    </row>
    <row r="15" spans="1:5">
      <c r="A15" s="43">
        <v>14</v>
      </c>
      <c r="B15" s="72" t="s">
        <v>600</v>
      </c>
      <c r="C15" s="60" t="s">
        <v>599</v>
      </c>
      <c r="D15" s="75">
        <v>42558</v>
      </c>
      <c r="E15" s="68" t="s">
        <v>1211</v>
      </c>
    </row>
    <row r="16" spans="1:5">
      <c r="A16" s="43">
        <v>15</v>
      </c>
      <c r="B16" s="69" t="s">
        <v>182</v>
      </c>
      <c r="C16" s="69" t="s">
        <v>184</v>
      </c>
      <c r="D16" s="76">
        <v>42614</v>
      </c>
      <c r="E16" s="71" t="s">
        <v>1212</v>
      </c>
    </row>
    <row r="17" spans="1:5">
      <c r="A17" s="43">
        <v>16</v>
      </c>
      <c r="B17" s="69" t="s">
        <v>190</v>
      </c>
      <c r="C17" s="69" t="s">
        <v>192</v>
      </c>
      <c r="D17" s="76">
        <v>42616</v>
      </c>
      <c r="E17" s="71" t="s">
        <v>1213</v>
      </c>
    </row>
    <row r="18" spans="1:5">
      <c r="A18" s="43">
        <v>17</v>
      </c>
      <c r="B18" s="69" t="s">
        <v>39</v>
      </c>
      <c r="C18" s="69" t="s">
        <v>41</v>
      </c>
      <c r="D18" s="76">
        <v>42960</v>
      </c>
      <c r="E18" s="71" t="s">
        <v>1268</v>
      </c>
    </row>
    <row r="19" spans="1:5">
      <c r="A19" s="43">
        <v>18</v>
      </c>
      <c r="B19" s="60" t="s">
        <v>194</v>
      </c>
      <c r="C19" s="60" t="s">
        <v>196</v>
      </c>
      <c r="D19" s="75">
        <v>42978</v>
      </c>
      <c r="E19" s="68" t="s">
        <v>1214</v>
      </c>
    </row>
    <row r="20" spans="1:5">
      <c r="A20" s="43">
        <v>19</v>
      </c>
      <c r="B20" s="60" t="s">
        <v>178</v>
      </c>
      <c r="C20" s="60" t="s">
        <v>180</v>
      </c>
      <c r="D20" s="75">
        <v>42985</v>
      </c>
      <c r="E20" s="68" t="s">
        <v>1215</v>
      </c>
    </row>
    <row r="21" spans="1:5">
      <c r="A21" s="43">
        <v>20</v>
      </c>
      <c r="B21" s="60" t="s">
        <v>363</v>
      </c>
      <c r="C21" s="60" t="s">
        <v>365</v>
      </c>
      <c r="D21" s="75">
        <v>43052</v>
      </c>
      <c r="E21" s="68" t="s">
        <v>1199</v>
      </c>
    </row>
    <row r="22" spans="1:5">
      <c r="A22" s="43">
        <v>21</v>
      </c>
      <c r="B22" s="69" t="s">
        <v>174</v>
      </c>
      <c r="C22" s="69" t="s">
        <v>176</v>
      </c>
      <c r="D22" s="76">
        <v>43053</v>
      </c>
      <c r="E22" s="71" t="s">
        <v>1216</v>
      </c>
    </row>
    <row r="23" spans="1:5">
      <c r="A23" s="43">
        <v>22</v>
      </c>
      <c r="B23" s="60" t="s">
        <v>349</v>
      </c>
      <c r="C23" s="60" t="s">
        <v>351</v>
      </c>
      <c r="D23" s="75">
        <v>43053</v>
      </c>
      <c r="E23" s="68" t="s">
        <v>1217</v>
      </c>
    </row>
    <row r="24" spans="1:5">
      <c r="A24" s="43">
        <v>23</v>
      </c>
      <c r="B24" s="69" t="s">
        <v>367</v>
      </c>
      <c r="C24" s="69" t="s">
        <v>369</v>
      </c>
      <c r="D24" s="76">
        <v>43253</v>
      </c>
      <c r="E24" s="71" t="s">
        <v>1218</v>
      </c>
    </row>
    <row r="25" spans="1:5">
      <c r="A25" s="43">
        <v>24</v>
      </c>
      <c r="B25" s="69" t="s">
        <v>345</v>
      </c>
      <c r="C25" s="69" t="s">
        <v>347</v>
      </c>
      <c r="D25" s="76">
        <v>43254</v>
      </c>
      <c r="E25" s="71" t="s">
        <v>1219</v>
      </c>
    </row>
    <row r="26" spans="1:5">
      <c r="A26" s="43">
        <v>25</v>
      </c>
      <c r="B26" s="60" t="s">
        <v>170</v>
      </c>
      <c r="C26" s="60" t="s">
        <v>172</v>
      </c>
      <c r="D26" s="75">
        <v>43264</v>
      </c>
      <c r="E26" s="68" t="s">
        <v>1220</v>
      </c>
    </row>
    <row r="27" spans="1:5">
      <c r="A27" s="43">
        <v>26</v>
      </c>
      <c r="B27" s="69" t="s">
        <v>359</v>
      </c>
      <c r="C27" s="69" t="s">
        <v>361</v>
      </c>
      <c r="D27" s="76">
        <v>43309</v>
      </c>
      <c r="E27" s="71" t="s">
        <v>1221</v>
      </c>
    </row>
    <row r="28" spans="1:5">
      <c r="A28" s="43">
        <v>27</v>
      </c>
      <c r="B28" s="60" t="s">
        <v>371</v>
      </c>
      <c r="C28" s="60" t="s">
        <v>373</v>
      </c>
      <c r="D28" s="75">
        <v>43314</v>
      </c>
      <c r="E28" s="68" t="s">
        <v>1222</v>
      </c>
    </row>
    <row r="29" spans="1:5">
      <c r="A29" s="43">
        <v>28</v>
      </c>
      <c r="B29" s="72" t="s">
        <v>609</v>
      </c>
      <c r="C29" s="60" t="s">
        <v>610</v>
      </c>
      <c r="D29" s="75">
        <v>43357</v>
      </c>
      <c r="E29" s="68" t="s">
        <v>1223</v>
      </c>
    </row>
    <row r="30" spans="1:5">
      <c r="A30" s="43">
        <v>29</v>
      </c>
      <c r="B30" s="60" t="s">
        <v>35</v>
      </c>
      <c r="C30" s="60" t="s">
        <v>37</v>
      </c>
      <c r="D30" s="75">
        <v>43390</v>
      </c>
      <c r="E30" s="68" t="s">
        <v>1224</v>
      </c>
    </row>
    <row r="31" spans="1:5">
      <c r="A31" s="43">
        <v>30</v>
      </c>
      <c r="B31" s="60" t="s">
        <v>27</v>
      </c>
      <c r="C31" s="60" t="s">
        <v>29</v>
      </c>
      <c r="D31" s="75">
        <v>43395</v>
      </c>
      <c r="E31" s="68" t="s">
        <v>1225</v>
      </c>
    </row>
    <row r="32" spans="1:5">
      <c r="A32" s="43">
        <v>31</v>
      </c>
      <c r="B32" s="60" t="s">
        <v>356</v>
      </c>
      <c r="C32" s="60" t="s">
        <v>358</v>
      </c>
      <c r="D32" s="75">
        <v>43395</v>
      </c>
      <c r="E32" s="68" t="s">
        <v>1226</v>
      </c>
    </row>
    <row r="33" spans="1:5">
      <c r="A33" s="43">
        <v>32</v>
      </c>
      <c r="B33" s="69" t="s">
        <v>23</v>
      </c>
      <c r="C33" s="69" t="s">
        <v>25</v>
      </c>
      <c r="D33" s="76">
        <v>43418</v>
      </c>
      <c r="E33" s="71" t="s">
        <v>1227</v>
      </c>
    </row>
    <row r="34" spans="1:5">
      <c r="A34" s="43">
        <v>33</v>
      </c>
      <c r="B34" s="60" t="s">
        <v>43</v>
      </c>
      <c r="C34" s="60" t="s">
        <v>45</v>
      </c>
      <c r="D34" s="75">
        <v>43512</v>
      </c>
      <c r="E34" s="68" t="s">
        <v>1228</v>
      </c>
    </row>
    <row r="35" spans="1:5">
      <c r="A35" s="43">
        <v>34</v>
      </c>
      <c r="B35" s="69" t="s">
        <v>47</v>
      </c>
      <c r="C35" s="69" t="s">
        <v>49</v>
      </c>
      <c r="D35" s="76">
        <v>43610</v>
      </c>
      <c r="E35" s="71" t="s">
        <v>1229</v>
      </c>
    </row>
    <row r="36" spans="1:5">
      <c r="A36" s="43">
        <v>35</v>
      </c>
      <c r="B36" s="69" t="s">
        <v>388</v>
      </c>
      <c r="C36" s="69" t="s">
        <v>390</v>
      </c>
      <c r="D36" s="76">
        <v>43618</v>
      </c>
      <c r="E36" s="71" t="s">
        <v>1230</v>
      </c>
    </row>
    <row r="37" spans="1:5">
      <c r="A37" s="43">
        <v>36</v>
      </c>
      <c r="B37" s="60" t="s">
        <v>67</v>
      </c>
      <c r="C37" s="60" t="s">
        <v>69</v>
      </c>
      <c r="D37" s="75">
        <v>43848</v>
      </c>
      <c r="E37" s="68" t="s">
        <v>1231</v>
      </c>
    </row>
    <row r="38" spans="1:5">
      <c r="A38" s="43">
        <v>37</v>
      </c>
      <c r="B38" s="60" t="s">
        <v>59</v>
      </c>
      <c r="C38" s="60" t="s">
        <v>61</v>
      </c>
      <c r="D38" s="75">
        <v>43946</v>
      </c>
      <c r="E38" s="68" t="s">
        <v>1232</v>
      </c>
    </row>
    <row r="39" spans="1:5">
      <c r="A39" s="43">
        <v>38</v>
      </c>
      <c r="B39" s="60" t="s">
        <v>384</v>
      </c>
      <c r="C39" s="60" t="s">
        <v>386</v>
      </c>
      <c r="D39" s="75">
        <v>44026</v>
      </c>
      <c r="E39" s="68" t="s">
        <v>1233</v>
      </c>
    </row>
    <row r="40" spans="1:5">
      <c r="A40" s="43">
        <v>39</v>
      </c>
      <c r="B40" s="69" t="s">
        <v>205</v>
      </c>
      <c r="C40" s="69" t="s">
        <v>207</v>
      </c>
      <c r="D40" s="76">
        <v>44083</v>
      </c>
      <c r="E40" s="71" t="s">
        <v>1234</v>
      </c>
    </row>
    <row r="41" spans="1:5">
      <c r="A41" s="43">
        <v>40</v>
      </c>
      <c r="B41" s="60" t="s">
        <v>400</v>
      </c>
      <c r="C41" s="60" t="s">
        <v>402</v>
      </c>
      <c r="D41" s="75">
        <v>44132</v>
      </c>
      <c r="E41" s="68" t="s">
        <v>1199</v>
      </c>
    </row>
    <row r="42" spans="1:5">
      <c r="A42" s="43">
        <v>41</v>
      </c>
      <c r="B42" s="60" t="s">
        <v>217</v>
      </c>
      <c r="C42" s="60" t="s">
        <v>219</v>
      </c>
      <c r="D42" s="75">
        <v>44148</v>
      </c>
      <c r="E42" s="68" t="s">
        <v>1235</v>
      </c>
    </row>
    <row r="43" spans="1:5">
      <c r="A43" s="43">
        <v>42</v>
      </c>
      <c r="B43" s="72" t="s">
        <v>603</v>
      </c>
      <c r="C43" s="60" t="s">
        <v>604</v>
      </c>
      <c r="D43" s="75">
        <v>44148</v>
      </c>
      <c r="E43" s="68" t="s">
        <v>1236</v>
      </c>
    </row>
    <row r="44" spans="1:5">
      <c r="A44" s="43">
        <v>43</v>
      </c>
      <c r="B44" s="72" t="s">
        <v>209</v>
      </c>
      <c r="C44" s="60" t="s">
        <v>211</v>
      </c>
      <c r="D44" s="75">
        <v>44149</v>
      </c>
      <c r="E44" s="68" t="s">
        <v>1237</v>
      </c>
    </row>
    <row r="45" spans="1:5">
      <c r="A45" s="43">
        <v>44</v>
      </c>
      <c r="B45" s="69" t="s">
        <v>229</v>
      </c>
      <c r="C45" s="69" t="s">
        <v>231</v>
      </c>
      <c r="D45" s="76">
        <v>44288</v>
      </c>
      <c r="E45" s="71" t="s">
        <v>1238</v>
      </c>
    </row>
    <row r="46" spans="1:5">
      <c r="A46" s="43">
        <v>45</v>
      </c>
      <c r="B46" s="69" t="s">
        <v>63</v>
      </c>
      <c r="C46" s="59" t="s">
        <v>65</v>
      </c>
      <c r="D46" s="76">
        <v>44296</v>
      </c>
      <c r="E46" s="71" t="s">
        <v>1239</v>
      </c>
    </row>
    <row r="47" spans="1:5">
      <c r="A47" s="43">
        <v>46</v>
      </c>
      <c r="B47" s="69" t="s">
        <v>55</v>
      </c>
      <c r="C47" s="69" t="s">
        <v>57</v>
      </c>
      <c r="D47" s="76">
        <v>44412</v>
      </c>
      <c r="E47" s="71" t="s">
        <v>1240</v>
      </c>
    </row>
    <row r="48" spans="1:5">
      <c r="A48" s="43">
        <v>47</v>
      </c>
      <c r="B48" s="60" t="s">
        <v>225</v>
      </c>
      <c r="C48" s="60" t="s">
        <v>227</v>
      </c>
      <c r="D48" s="75">
        <v>44449</v>
      </c>
      <c r="E48" s="68" t="s">
        <v>1241</v>
      </c>
    </row>
    <row r="49" spans="1:5">
      <c r="A49" s="43">
        <v>48</v>
      </c>
      <c r="B49" s="60" t="s">
        <v>201</v>
      </c>
      <c r="C49" s="60" t="s">
        <v>203</v>
      </c>
      <c r="D49" s="75">
        <v>44522</v>
      </c>
      <c r="E49" s="68" t="s">
        <v>1242</v>
      </c>
    </row>
    <row r="50" spans="1:5">
      <c r="A50" s="43">
        <v>49</v>
      </c>
      <c r="B50" s="60" t="s">
        <v>378</v>
      </c>
      <c r="C50" s="60" t="s">
        <v>380</v>
      </c>
      <c r="D50" s="75">
        <v>44522</v>
      </c>
      <c r="E50" s="68" t="s">
        <v>1243</v>
      </c>
    </row>
    <row r="51" spans="1:5">
      <c r="A51" s="43">
        <v>50</v>
      </c>
      <c r="B51" s="69" t="s">
        <v>419</v>
      </c>
      <c r="C51" s="69" t="s">
        <v>421</v>
      </c>
      <c r="D51" s="76">
        <v>44704</v>
      </c>
      <c r="E51" s="71" t="s">
        <v>1244</v>
      </c>
    </row>
    <row r="52" spans="1:5">
      <c r="A52" s="43">
        <v>51</v>
      </c>
      <c r="B52" s="72" t="s">
        <v>607</v>
      </c>
      <c r="C52" s="60" t="s">
        <v>608</v>
      </c>
      <c r="D52" s="75">
        <v>44875</v>
      </c>
      <c r="E52" s="68" t="s">
        <v>1245</v>
      </c>
    </row>
    <row r="53" spans="1:5">
      <c r="A53" s="43">
        <v>52</v>
      </c>
      <c r="B53" s="60" t="s">
        <v>88</v>
      </c>
      <c r="C53" s="60" t="s">
        <v>90</v>
      </c>
      <c r="D53" s="75">
        <v>44971</v>
      </c>
      <c r="E53" s="68" t="s">
        <v>1246</v>
      </c>
    </row>
    <row r="54" spans="1:5">
      <c r="A54" s="43">
        <v>53</v>
      </c>
      <c r="B54" s="69" t="s">
        <v>237</v>
      </c>
      <c r="C54" s="69" t="s">
        <v>239</v>
      </c>
      <c r="D54" s="76">
        <v>44995</v>
      </c>
      <c r="E54" s="71" t="s">
        <v>1247</v>
      </c>
    </row>
    <row r="55" spans="1:5">
      <c r="A55" s="43">
        <v>54</v>
      </c>
      <c r="B55" s="69" t="s">
        <v>99</v>
      </c>
      <c r="C55" s="69" t="s">
        <v>101</v>
      </c>
      <c r="D55" s="76">
        <v>45018</v>
      </c>
      <c r="E55" s="71" t="s">
        <v>1248</v>
      </c>
    </row>
    <row r="56" spans="1:5">
      <c r="A56" s="43">
        <v>55</v>
      </c>
      <c r="B56" s="60" t="s">
        <v>241</v>
      </c>
      <c r="C56" s="60" t="s">
        <v>243</v>
      </c>
      <c r="D56" s="75">
        <v>45055</v>
      </c>
      <c r="E56" s="68" t="s">
        <v>1249</v>
      </c>
    </row>
    <row r="57" spans="1:5">
      <c r="A57" s="43">
        <v>56</v>
      </c>
      <c r="B57" s="60" t="s">
        <v>263</v>
      </c>
      <c r="C57" s="60" t="s">
        <v>265</v>
      </c>
      <c r="D57" s="75">
        <v>45057</v>
      </c>
      <c r="E57" s="68" t="s">
        <v>1250</v>
      </c>
    </row>
    <row r="58" spans="1:5">
      <c r="A58" s="43">
        <v>57</v>
      </c>
      <c r="B58" s="69" t="s">
        <v>267</v>
      </c>
      <c r="C58" s="69" t="s">
        <v>269</v>
      </c>
      <c r="D58" s="76">
        <v>45076</v>
      </c>
      <c r="E58" s="71" t="s">
        <v>1251</v>
      </c>
    </row>
    <row r="59" spans="1:5">
      <c r="A59" s="43">
        <v>58</v>
      </c>
      <c r="B59" s="60" t="s">
        <v>415</v>
      </c>
      <c r="C59" s="60" t="s">
        <v>417</v>
      </c>
      <c r="D59" s="75">
        <v>45120</v>
      </c>
      <c r="E59" s="68" t="s">
        <v>1252</v>
      </c>
    </row>
    <row r="60" spans="1:5">
      <c r="A60" s="43">
        <v>59</v>
      </c>
      <c r="B60" s="60" t="s">
        <v>287</v>
      </c>
      <c r="C60" s="60" t="s">
        <v>289</v>
      </c>
      <c r="D60" s="75">
        <v>45154</v>
      </c>
      <c r="E60" s="68" t="s">
        <v>1253</v>
      </c>
    </row>
    <row r="61" spans="1:5">
      <c r="A61" s="43">
        <v>60</v>
      </c>
      <c r="B61" s="60" t="s">
        <v>271</v>
      </c>
      <c r="C61" s="60" t="s">
        <v>273</v>
      </c>
      <c r="D61" s="75">
        <v>45157</v>
      </c>
      <c r="E61" s="68" t="s">
        <v>1254</v>
      </c>
    </row>
    <row r="62" spans="1:5">
      <c r="A62" s="43">
        <v>61</v>
      </c>
      <c r="B62" s="60" t="s">
        <v>441</v>
      </c>
      <c r="C62" s="60" t="s">
        <v>443</v>
      </c>
      <c r="D62" s="75">
        <v>45173</v>
      </c>
      <c r="E62" s="68" t="s">
        <v>1255</v>
      </c>
    </row>
    <row r="63" spans="1:5">
      <c r="A63" s="43">
        <v>62</v>
      </c>
      <c r="B63" s="60" t="s">
        <v>124</v>
      </c>
      <c r="C63" s="60" t="s">
        <v>126</v>
      </c>
      <c r="D63" s="75">
        <v>45175</v>
      </c>
      <c r="E63" s="68" t="s">
        <v>1256</v>
      </c>
    </row>
    <row r="64" spans="1:5">
      <c r="A64" s="43">
        <v>63</v>
      </c>
      <c r="B64" s="69" t="s">
        <v>245</v>
      </c>
      <c r="C64" s="69" t="s">
        <v>247</v>
      </c>
      <c r="D64" s="76">
        <v>45175</v>
      </c>
      <c r="E64" s="71" t="s">
        <v>1257</v>
      </c>
    </row>
    <row r="65" spans="1:5">
      <c r="A65" s="43">
        <v>64</v>
      </c>
      <c r="B65" s="69" t="s">
        <v>426</v>
      </c>
      <c r="C65" s="69" t="s">
        <v>428</v>
      </c>
      <c r="D65" s="76">
        <v>45175</v>
      </c>
      <c r="E65" s="71" t="s">
        <v>1258</v>
      </c>
    </row>
    <row r="66" spans="1:5">
      <c r="A66" s="43">
        <v>65</v>
      </c>
      <c r="B66" s="72" t="s">
        <v>605</v>
      </c>
      <c r="C66" s="60" t="s">
        <v>606</v>
      </c>
      <c r="D66" s="75">
        <v>45175</v>
      </c>
      <c r="E66" s="68" t="s">
        <v>1259</v>
      </c>
    </row>
    <row r="67" spans="1:5">
      <c r="A67" s="43">
        <v>66</v>
      </c>
      <c r="B67" s="69" t="s">
        <v>259</v>
      </c>
      <c r="C67" s="69" t="s">
        <v>261</v>
      </c>
      <c r="D67" s="76">
        <v>45176</v>
      </c>
      <c r="E67" s="71" t="s">
        <v>1260</v>
      </c>
    </row>
    <row r="68" spans="1:5">
      <c r="A68" s="43">
        <v>67</v>
      </c>
      <c r="B68" s="69" t="s">
        <v>438</v>
      </c>
      <c r="C68" s="59" t="s">
        <v>440</v>
      </c>
      <c r="D68" s="76">
        <v>45176</v>
      </c>
      <c r="E68" s="71" t="s">
        <v>1261</v>
      </c>
    </row>
    <row r="69" spans="1:5">
      <c r="A69" s="43">
        <v>68</v>
      </c>
      <c r="B69" s="60" t="s">
        <v>75</v>
      </c>
      <c r="C69" s="60" t="s">
        <v>77</v>
      </c>
      <c r="D69" s="75">
        <v>45186</v>
      </c>
      <c r="E69" s="68" t="s">
        <v>1262</v>
      </c>
    </row>
    <row r="70" spans="1:5">
      <c r="A70" s="43">
        <v>69</v>
      </c>
      <c r="B70" s="60" t="s">
        <v>423</v>
      </c>
      <c r="C70" s="60" t="s">
        <v>425</v>
      </c>
      <c r="D70" s="75">
        <v>45186</v>
      </c>
      <c r="E70" s="68" t="s">
        <v>1263</v>
      </c>
    </row>
    <row r="71" spans="1:5">
      <c r="A71" s="43">
        <v>70</v>
      </c>
      <c r="B71" s="69" t="s">
        <v>251</v>
      </c>
      <c r="C71" s="69" t="s">
        <v>253</v>
      </c>
      <c r="D71" s="76">
        <v>45187</v>
      </c>
      <c r="E71" s="71" t="s">
        <v>1264</v>
      </c>
    </row>
    <row r="72" spans="1:5">
      <c r="A72" s="43">
        <v>71</v>
      </c>
      <c r="B72" s="60" t="s">
        <v>255</v>
      </c>
      <c r="C72" s="60" t="s">
        <v>257</v>
      </c>
      <c r="D72" s="75">
        <v>45190</v>
      </c>
      <c r="E72" s="68" t="s">
        <v>1265</v>
      </c>
    </row>
    <row r="73" spans="1:5">
      <c r="A73" s="43">
        <v>72</v>
      </c>
      <c r="B73" s="69" t="s">
        <v>92</v>
      </c>
      <c r="C73" s="69" t="s">
        <v>94</v>
      </c>
      <c r="D73" s="76">
        <v>45198</v>
      </c>
      <c r="E73" s="71" t="s">
        <v>1266</v>
      </c>
    </row>
    <row r="74" spans="1:5">
      <c r="A74" s="62">
        <v>73</v>
      </c>
      <c r="B74" s="63" t="s">
        <v>110</v>
      </c>
      <c r="C74" s="63" t="s">
        <v>112</v>
      </c>
      <c r="D74" s="77">
        <v>45250</v>
      </c>
      <c r="E74" s="68" t="s">
        <v>1267</v>
      </c>
    </row>
    <row r="75" spans="1:5">
      <c r="A75" s="43">
        <v>82</v>
      </c>
      <c r="B75" s="63" t="s">
        <v>1294</v>
      </c>
      <c r="C75" s="63" t="s">
        <v>1293</v>
      </c>
      <c r="D75" s="77">
        <v>45293</v>
      </c>
      <c r="E75" s="61" t="s">
        <v>1295</v>
      </c>
    </row>
    <row r="76" spans="1:5">
      <c r="A76" s="43">
        <v>81</v>
      </c>
      <c r="B76" s="63" t="s">
        <v>1291</v>
      </c>
      <c r="C76" s="63" t="s">
        <v>1290</v>
      </c>
      <c r="D76" s="77">
        <v>45387</v>
      </c>
      <c r="E76" s="61" t="s">
        <v>1292</v>
      </c>
    </row>
    <row r="77" spans="1:5">
      <c r="A77" s="62">
        <v>83</v>
      </c>
      <c r="B77" s="63" t="s">
        <v>1297</v>
      </c>
      <c r="C77" s="63" t="s">
        <v>1296</v>
      </c>
      <c r="D77" s="77">
        <v>45398</v>
      </c>
      <c r="E77" s="61" t="s">
        <v>1298</v>
      </c>
    </row>
    <row r="78" spans="1:5">
      <c r="A78" s="43">
        <v>77</v>
      </c>
      <c r="B78" s="63" t="s">
        <v>1279</v>
      </c>
      <c r="C78" s="63" t="s">
        <v>1278</v>
      </c>
      <c r="D78" s="77">
        <v>45436</v>
      </c>
      <c r="E78" s="61" t="s">
        <v>1280</v>
      </c>
    </row>
    <row r="79" spans="1:5">
      <c r="A79" s="43">
        <v>76</v>
      </c>
      <c r="B79" s="63" t="s">
        <v>1276</v>
      </c>
      <c r="C79" s="63" t="s">
        <v>1275</v>
      </c>
      <c r="D79" s="77">
        <v>45574</v>
      </c>
      <c r="E79" s="61" t="s">
        <v>1277</v>
      </c>
    </row>
    <row r="80" spans="1:5">
      <c r="A80" s="62">
        <v>78</v>
      </c>
      <c r="B80" s="63" t="s">
        <v>1282</v>
      </c>
      <c r="C80" s="63" t="s">
        <v>1281</v>
      </c>
      <c r="D80" s="77">
        <v>45574</v>
      </c>
      <c r="E80" s="61" t="s">
        <v>1283</v>
      </c>
    </row>
    <row r="81" spans="1:5">
      <c r="A81" s="43">
        <v>84</v>
      </c>
      <c r="B81" s="63" t="s">
        <v>1299</v>
      </c>
      <c r="C81" s="63" t="s">
        <v>1300</v>
      </c>
      <c r="D81" s="77">
        <v>45575</v>
      </c>
      <c r="E81" s="61" t="s">
        <v>1301</v>
      </c>
    </row>
    <row r="82" spans="1:5">
      <c r="A82" s="43">
        <v>74</v>
      </c>
      <c r="B82" s="63" t="s">
        <v>1270</v>
      </c>
      <c r="C82" s="63" t="s">
        <v>1269</v>
      </c>
      <c r="D82" s="77">
        <v>45576</v>
      </c>
      <c r="E82" s="61" t="s">
        <v>1271</v>
      </c>
    </row>
    <row r="83" spans="1:5">
      <c r="A83" s="62">
        <v>75</v>
      </c>
      <c r="B83" s="63" t="s">
        <v>1272</v>
      </c>
      <c r="C83" s="64" t="s">
        <v>1273</v>
      </c>
      <c r="D83" s="77">
        <v>45583</v>
      </c>
      <c r="E83" s="61" t="s">
        <v>1274</v>
      </c>
    </row>
    <row r="84" spans="1:5">
      <c r="A84" s="43">
        <v>79</v>
      </c>
      <c r="B84" s="63" t="s">
        <v>1285</v>
      </c>
      <c r="C84" s="63" t="s">
        <v>1284</v>
      </c>
      <c r="D84" s="77">
        <v>45591</v>
      </c>
      <c r="E84" s="61" t="s">
        <v>1286</v>
      </c>
    </row>
    <row r="85" spans="1:5">
      <c r="A85" s="43">
        <v>80</v>
      </c>
      <c r="B85" s="63" t="s">
        <v>1288</v>
      </c>
      <c r="C85" s="63" t="s">
        <v>1287</v>
      </c>
      <c r="D85" s="77">
        <v>45617</v>
      </c>
      <c r="E85" s="61" t="s">
        <v>1289</v>
      </c>
    </row>
  </sheetData>
  <hyperlinks>
    <hyperlink ref="C2" r:id="rId1" xr:uid="{7460C6AB-459A-4521-8637-B5261D3577E8}"/>
    <hyperlink ref="C4" r:id="rId2" xr:uid="{560717A8-213F-4DEA-A177-2ED3C4D7052E}"/>
    <hyperlink ref="C11" r:id="rId3" xr:uid="{AAE1A515-D70D-4DA2-A9C8-098268CCDA70}"/>
    <hyperlink ref="C33" r:id="rId4" xr:uid="{616DE4FD-339A-43CF-9917-A4BC518C44B4}"/>
    <hyperlink ref="C31" r:id="rId5" xr:uid="{234C9EA1-1597-4FC0-BFDB-A0ABBD6A2184}"/>
    <hyperlink ref="C30" r:id="rId6" xr:uid="{52622184-A6C2-45E2-B6F1-12CD13279FAE}"/>
    <hyperlink ref="C18" r:id="rId7" xr:uid="{E3D834C0-5ACE-430D-975F-C4E05306E2C9}"/>
    <hyperlink ref="C34" r:id="rId8" xr:uid="{D796CA8F-AADE-494B-9875-FBEABBD5E7EA}"/>
    <hyperlink ref="C35" r:id="rId9" xr:uid="{48E297EF-76FD-4D71-9324-F9FB7B8C70C7}"/>
    <hyperlink ref="C47" r:id="rId10" xr:uid="{BF45E1FF-5DAF-4BAE-AF67-CBE17122675F}"/>
    <hyperlink ref="C38" r:id="rId11" xr:uid="{4C0E2567-B103-4D31-AC78-F023A37CF84C}"/>
    <hyperlink ref="C46" r:id="rId12" xr:uid="{6D7193D5-D783-4167-AA86-2B922A3BE84E}"/>
    <hyperlink ref="C37" r:id="rId13" xr:uid="{3E0BF7DE-BA9E-4D44-9EA0-4B897760C88B}"/>
    <hyperlink ref="C69" r:id="rId14" xr:uid="{DB2F2201-5425-41CD-8D13-C22EC3F3FCD8}"/>
    <hyperlink ref="C53" r:id="rId15" xr:uid="{60BF354A-74CE-4E4B-815A-49FCF23FABDD}"/>
    <hyperlink ref="C73" r:id="rId16" xr:uid="{E239137D-6263-4078-8B61-80D9EF0B0627}"/>
    <hyperlink ref="C55" r:id="rId17" xr:uid="{9767ACAF-E8C3-4E71-BAF2-1C065E1A9596}"/>
    <hyperlink ref="C74" r:id="rId18" xr:uid="{C6A01586-8767-4A02-89BC-E79AC1A8D315}"/>
    <hyperlink ref="C63" r:id="rId19" xr:uid="{EBF52C31-4404-4A1E-969E-BA34DEC8EE38}"/>
    <hyperlink ref="C5" r:id="rId20" xr:uid="{5743C929-CCE0-482D-B628-FF7799151818}"/>
    <hyperlink ref="C8" r:id="rId21" xr:uid="{1D1C9648-3149-4403-A185-AD2505FB7D2B}"/>
    <hyperlink ref="C10" r:id="rId22" xr:uid="{423CA972-7D26-4B28-9135-C999F2B03580}"/>
    <hyperlink ref="C6" r:id="rId23" xr:uid="{819B5865-0D91-4B7E-9CFB-F18E46E070A5}"/>
    <hyperlink ref="C26" r:id="rId24" xr:uid="{E902BE57-E18A-4B40-A1E2-D700B1B20C7D}"/>
    <hyperlink ref="C22" r:id="rId25" xr:uid="{49C95FE5-84F0-4999-9EBF-03A5DE9F7040}"/>
    <hyperlink ref="C20" r:id="rId26" xr:uid="{019B5CEF-0AAE-4ECE-99C5-71EFD4941694}"/>
    <hyperlink ref="C16" r:id="rId27" xr:uid="{0D06B634-8D45-4217-B089-C64EED48BF71}"/>
    <hyperlink ref="C17" r:id="rId28" xr:uid="{95FB200D-97B0-439A-8842-BD45EBDC8FC2}"/>
    <hyperlink ref="C19" r:id="rId29" xr:uid="{D0F80660-F425-4818-8E4C-B886AEF56C7D}"/>
    <hyperlink ref="C49" r:id="rId30" xr:uid="{0D6D070A-45F9-46AC-84E2-39A65124878D}"/>
    <hyperlink ref="C40" r:id="rId31" xr:uid="{62825431-E716-4D35-921C-83A0D54D5F8B}"/>
    <hyperlink ref="C44" r:id="rId32" xr:uid="{39A66BF4-632E-4DAD-A71B-6A4EAA12A727}"/>
    <hyperlink ref="C42" r:id="rId33" xr:uid="{5A2C3EBA-23A3-42A8-8C72-C3E3448EE52E}"/>
    <hyperlink ref="C48" r:id="rId34" xr:uid="{D13A1AF5-58CC-42FC-861E-DECA3F1B165E}"/>
    <hyperlink ref="C45" r:id="rId35" xr:uid="{A7E5507C-C8FA-4277-845A-AEAB6C20DF0A}"/>
    <hyperlink ref="C54" r:id="rId36" xr:uid="{E57CB04C-0324-44B2-B19F-8A6EC69EED6C}"/>
    <hyperlink ref="C56" r:id="rId37" xr:uid="{E9CE6EBF-DD30-4775-BDF7-6A83383F63FF}"/>
    <hyperlink ref="C64" r:id="rId38" xr:uid="{7AEF5D00-D208-4F35-9DA7-F020017BBDC8}"/>
    <hyperlink ref="C71" r:id="rId39" xr:uid="{881AA58D-3991-43B0-833B-1D62BC4D81F1}"/>
    <hyperlink ref="C72" r:id="rId40" xr:uid="{8ED57FD4-603A-413F-AD86-43515289485A}"/>
    <hyperlink ref="C67" r:id="rId41" xr:uid="{621BEFF4-2894-4963-8A55-6ED0E57EBC08}"/>
    <hyperlink ref="C57" r:id="rId42" xr:uid="{63C6557A-52BB-475B-A956-10A939C05A1C}"/>
    <hyperlink ref="C58" r:id="rId43" xr:uid="{7638C18D-9556-47B8-A651-6A22A4411823}"/>
    <hyperlink ref="C61" r:id="rId44" xr:uid="{BBBED616-8710-44AF-9A17-F015E6E9803B}"/>
    <hyperlink ref="C60" r:id="rId45" xr:uid="{64371530-D6EC-4E1B-82A2-B9959E129014}"/>
    <hyperlink ref="C7" r:id="rId46" xr:uid="{4A542162-925B-439E-92A3-D444DEFC5B2C}"/>
    <hyperlink ref="C9" r:id="rId47" xr:uid="{7D35CD40-645B-4C6C-B1AD-1B9EEE464CBB}"/>
    <hyperlink ref="C3" r:id="rId48" xr:uid="{6BC9F02A-AB89-47F5-87F5-1D6C306A036D}"/>
    <hyperlink ref="C13" r:id="rId49" xr:uid="{2ECBC4FE-2302-433F-B5A5-0BD469F03A4F}"/>
    <hyperlink ref="C25" r:id="rId50" xr:uid="{34D16C94-AA3F-4563-AA7A-7904BFD9B587}"/>
    <hyperlink ref="C23" r:id="rId51" xr:uid="{91B08F7A-B76B-467D-9BFC-7576469F0C43}"/>
    <hyperlink ref="C14" r:id="rId52" xr:uid="{77149F7D-DB6E-47C0-9A9B-E3FC647C735C}"/>
    <hyperlink ref="C32" r:id="rId53" xr:uid="{88D7145F-2FF6-450D-9AE2-BC4E5348BC45}"/>
    <hyperlink ref="C27" r:id="rId54" xr:uid="{E9BDC6AB-B18A-432B-B0CB-D8E8092F1010}"/>
    <hyperlink ref="C21" r:id="rId55" xr:uid="{CDF4B3D6-8CE2-408F-A76B-9409429A7170}"/>
    <hyperlink ref="C24" r:id="rId56" xr:uid="{C59911E7-A032-45BD-9F5A-61FEC06446C1}"/>
    <hyperlink ref="C28" r:id="rId57" xr:uid="{2AB7F8E8-B637-4EEF-9863-A1357D2A37CA}"/>
    <hyperlink ref="C50" r:id="rId58" xr:uid="{2679E1F0-3565-4989-BDEE-0E5F4C785902}"/>
    <hyperlink ref="C39" r:id="rId59" xr:uid="{0014E583-6C79-4CED-A781-C262AE7C3194}"/>
    <hyperlink ref="C36" r:id="rId60" xr:uid="{51C87975-1FAC-48AC-BCE3-29DE8A70FF33}"/>
    <hyperlink ref="C41" r:id="rId61" xr:uid="{3BC97ACA-8A6C-4F7A-A583-38A34C9DC6BA}"/>
    <hyperlink ref="C59" r:id="rId62" xr:uid="{7DBF4389-7A68-4D3A-9F90-4AECC7B244A5}"/>
    <hyperlink ref="C51" r:id="rId63" xr:uid="{774142DD-FB14-46A1-970A-8E7F86349DD3}"/>
    <hyperlink ref="C70" r:id="rId64" xr:uid="{8784EEFC-6BF1-4FAA-9DD7-1086FA318E56}"/>
    <hyperlink ref="C65" r:id="rId65" xr:uid="{EC6D8E4E-37FE-410C-BB29-1D069BDF6585}"/>
    <hyperlink ref="C68" r:id="rId66" xr:uid="{A5F24C56-8A43-48D0-8E12-7D2A0E1AE41C}"/>
    <hyperlink ref="C62" r:id="rId67" xr:uid="{70796BB1-4E42-4718-B799-20C555E70FF8}"/>
    <hyperlink ref="C12" r:id="rId68" xr:uid="{1AD79731-3366-4AD9-90E5-F58F5F18C913}"/>
    <hyperlink ref="C83" r:id="rId69" xr:uid="{C1BA73C2-15CE-400C-BBE2-B28234D1DCDA}"/>
  </hyperlinks>
  <pageMargins left="0.7" right="0.7" top="0.75" bottom="0.75" header="0.3" footer="0.3"/>
  <tableParts count="1">
    <tablePart r:id="rId70"/>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DD2BB-A04F-4E61-8BD8-98F37EA2A9DE}">
  <dimension ref="A1:W99"/>
  <sheetViews>
    <sheetView topLeftCell="A91" workbookViewId="0">
      <selection activeCell="A2" sqref="A2:XFD2"/>
    </sheetView>
  </sheetViews>
  <sheetFormatPr defaultRowHeight="14.25"/>
  <cols>
    <col min="1" max="1" width="10.140625" style="21" customWidth="1"/>
    <col min="2" max="2" width="19" style="21" hidden="1" customWidth="1"/>
    <col min="3" max="3" width="14" style="21" hidden="1" customWidth="1"/>
    <col min="4" max="4" width="129.140625" style="21" customWidth="1"/>
    <col min="5" max="5" width="9.140625" style="21"/>
    <col min="6" max="6" width="13.5703125" style="21" customWidth="1"/>
    <col min="7" max="7" width="10" style="21" hidden="1" customWidth="1"/>
    <col min="8" max="8" width="0" style="21" hidden="1" customWidth="1"/>
    <col min="9" max="9" width="9.85546875" style="21" hidden="1" customWidth="1"/>
    <col min="10" max="10" width="12" style="21" hidden="1" customWidth="1"/>
    <col min="11" max="11" width="11.28515625" style="21" hidden="1" customWidth="1"/>
    <col min="12" max="12" width="13" style="21" hidden="1" customWidth="1"/>
    <col min="13" max="13" width="10.7109375" style="21" hidden="1" customWidth="1"/>
    <col min="14" max="14" width="0" style="21" hidden="1" customWidth="1"/>
    <col min="15" max="15" width="9.140625" style="21"/>
    <col min="16" max="16" width="17.28515625" style="21" hidden="1" customWidth="1"/>
    <col min="17" max="17" width="18.7109375" style="46" customWidth="1"/>
    <col min="18" max="18" width="4.140625" style="21" hidden="1" customWidth="1"/>
    <col min="19" max="19" width="9.140625" style="21"/>
    <col min="20" max="21" width="12.85546875" style="21" bestFit="1" customWidth="1"/>
    <col min="22" max="22" width="12.28515625" style="21" bestFit="1" customWidth="1"/>
    <col min="23" max="16384" width="9.140625" style="21"/>
  </cols>
  <sheetData>
    <row r="1" spans="1:23">
      <c r="A1" s="50" t="s">
        <v>611</v>
      </c>
      <c r="B1" s="50" t="s">
        <v>612</v>
      </c>
      <c r="C1" s="50" t="s">
        <v>613</v>
      </c>
      <c r="D1" s="50" t="s">
        <v>614</v>
      </c>
      <c r="E1" s="50" t="s">
        <v>615</v>
      </c>
      <c r="F1" s="50" t="s">
        <v>616</v>
      </c>
      <c r="G1" s="50" t="s">
        <v>617</v>
      </c>
      <c r="H1" s="50" t="s">
        <v>618</v>
      </c>
      <c r="I1" s="50" t="s">
        <v>619</v>
      </c>
      <c r="J1" s="50" t="s">
        <v>620</v>
      </c>
      <c r="K1" s="50" t="s">
        <v>621</v>
      </c>
      <c r="L1" s="50" t="s">
        <v>622</v>
      </c>
      <c r="M1" s="50" t="s">
        <v>623</v>
      </c>
      <c r="N1" s="50" t="s">
        <v>624</v>
      </c>
      <c r="O1" s="50" t="s">
        <v>625</v>
      </c>
      <c r="P1" s="50" t="s">
        <v>626</v>
      </c>
      <c r="Q1" s="51" t="s">
        <v>627</v>
      </c>
      <c r="R1" s="21" t="s">
        <v>628</v>
      </c>
    </row>
    <row r="2" spans="1:23">
      <c r="A2" s="79" t="s">
        <v>631</v>
      </c>
      <c r="B2" s="47" t="s">
        <v>632</v>
      </c>
      <c r="C2" s="47" t="s">
        <v>633</v>
      </c>
      <c r="D2" s="47" t="s">
        <v>634</v>
      </c>
      <c r="E2" s="47">
        <v>2012</v>
      </c>
      <c r="F2" s="47" t="s">
        <v>635</v>
      </c>
      <c r="G2" s="47">
        <v>8</v>
      </c>
      <c r="H2" s="47">
        <v>1</v>
      </c>
      <c r="I2" s="47"/>
      <c r="J2" s="47">
        <v>54</v>
      </c>
      <c r="K2" s="47">
        <v>70</v>
      </c>
      <c r="L2" s="47">
        <v>16</v>
      </c>
      <c r="M2" s="47">
        <v>7</v>
      </c>
      <c r="N2" s="47" t="s">
        <v>636</v>
      </c>
      <c r="O2" s="47" t="s">
        <v>637</v>
      </c>
      <c r="P2" s="47" t="s">
        <v>629</v>
      </c>
      <c r="Q2" s="48" t="s">
        <v>630</v>
      </c>
      <c r="R2" s="21" t="s">
        <v>638</v>
      </c>
      <c r="T2"/>
      <c r="U2"/>
      <c r="V2"/>
    </row>
    <row r="3" spans="1:23">
      <c r="A3" s="47" t="s">
        <v>639</v>
      </c>
      <c r="B3" s="47" t="s">
        <v>640</v>
      </c>
      <c r="C3" s="47" t="s">
        <v>641</v>
      </c>
      <c r="D3" s="47" t="s">
        <v>642</v>
      </c>
      <c r="E3" s="47">
        <v>2013</v>
      </c>
      <c r="F3" s="47" t="s">
        <v>643</v>
      </c>
      <c r="G3" s="47">
        <v>56</v>
      </c>
      <c r="H3" s="47">
        <v>1</v>
      </c>
      <c r="I3" s="47"/>
      <c r="J3" s="47">
        <v>163</v>
      </c>
      <c r="K3" s="47">
        <v>182</v>
      </c>
      <c r="L3" s="47">
        <v>19</v>
      </c>
      <c r="M3" s="47">
        <v>15</v>
      </c>
      <c r="N3" s="47" t="s">
        <v>644</v>
      </c>
      <c r="O3" s="47" t="s">
        <v>645</v>
      </c>
      <c r="P3" s="47" t="s">
        <v>629</v>
      </c>
      <c r="Q3" s="48" t="s">
        <v>630</v>
      </c>
      <c r="R3" s="21" t="s">
        <v>646</v>
      </c>
      <c r="T3"/>
      <c r="U3" s="14" t="s">
        <v>575</v>
      </c>
      <c r="V3" s="15" t="s">
        <v>1196</v>
      </c>
      <c r="W3"/>
    </row>
    <row r="4" spans="1:23">
      <c r="A4" s="47" t="s">
        <v>647</v>
      </c>
      <c r="B4" s="47" t="s">
        <v>648</v>
      </c>
      <c r="C4" s="47" t="s">
        <v>649</v>
      </c>
      <c r="D4" s="47" t="s">
        <v>650</v>
      </c>
      <c r="E4" s="47">
        <v>2013</v>
      </c>
      <c r="F4" s="47" t="s">
        <v>651</v>
      </c>
      <c r="G4" s="47">
        <v>49</v>
      </c>
      <c r="H4" s="47">
        <v>2</v>
      </c>
      <c r="I4" s="47"/>
      <c r="J4" s="47">
        <v>103</v>
      </c>
      <c r="K4" s="47">
        <v>145</v>
      </c>
      <c r="L4" s="47">
        <v>42</v>
      </c>
      <c r="M4" s="47">
        <v>4</v>
      </c>
      <c r="N4" s="47"/>
      <c r="O4" s="47" t="s">
        <v>652</v>
      </c>
      <c r="P4" s="47" t="s">
        <v>629</v>
      </c>
      <c r="Q4" s="48" t="s">
        <v>630</v>
      </c>
      <c r="T4"/>
      <c r="U4" s="16">
        <v>2010</v>
      </c>
      <c r="V4" s="15">
        <v>1</v>
      </c>
      <c r="W4"/>
    </row>
    <row r="5" spans="1:23">
      <c r="A5" s="47" t="s">
        <v>653</v>
      </c>
      <c r="B5" s="47" t="s">
        <v>654</v>
      </c>
      <c r="C5" s="47">
        <v>24436720800</v>
      </c>
      <c r="D5" s="47" t="s">
        <v>655</v>
      </c>
      <c r="E5" s="47">
        <v>2013</v>
      </c>
      <c r="F5" s="47" t="s">
        <v>656</v>
      </c>
      <c r="G5" s="47">
        <v>65</v>
      </c>
      <c r="H5" s="47">
        <v>2</v>
      </c>
      <c r="I5" s="47"/>
      <c r="J5" s="47">
        <v>135</v>
      </c>
      <c r="K5" s="47">
        <v>156</v>
      </c>
      <c r="L5" s="47">
        <v>21</v>
      </c>
      <c r="M5" s="47">
        <v>30</v>
      </c>
      <c r="N5" s="47" t="s">
        <v>657</v>
      </c>
      <c r="O5" s="47" t="s">
        <v>658</v>
      </c>
      <c r="P5" s="47" t="s">
        <v>629</v>
      </c>
      <c r="Q5" s="48" t="s">
        <v>630</v>
      </c>
      <c r="T5"/>
      <c r="U5" s="17">
        <v>2012</v>
      </c>
      <c r="V5" s="18">
        <v>1</v>
      </c>
      <c r="W5"/>
    </row>
    <row r="6" spans="1:23">
      <c r="A6" s="47" t="s">
        <v>659</v>
      </c>
      <c r="B6" s="47" t="s">
        <v>660</v>
      </c>
      <c r="C6" s="47">
        <v>36662294500</v>
      </c>
      <c r="D6" s="47" t="s">
        <v>661</v>
      </c>
      <c r="E6" s="47">
        <v>2013</v>
      </c>
      <c r="F6" s="47" t="s">
        <v>662</v>
      </c>
      <c r="G6" s="47">
        <v>6</v>
      </c>
      <c r="H6" s="47">
        <v>1</v>
      </c>
      <c r="I6" s="47"/>
      <c r="J6" s="47">
        <v>107</v>
      </c>
      <c r="K6" s="47">
        <v>133</v>
      </c>
      <c r="L6" s="47">
        <v>26</v>
      </c>
      <c r="M6" s="47">
        <v>8</v>
      </c>
      <c r="N6" s="47" t="s">
        <v>663</v>
      </c>
      <c r="O6" s="47" t="s">
        <v>664</v>
      </c>
      <c r="P6" s="47" t="s">
        <v>629</v>
      </c>
      <c r="Q6" s="48" t="s">
        <v>630</v>
      </c>
      <c r="R6" s="21" t="s">
        <v>665</v>
      </c>
      <c r="T6"/>
      <c r="U6" s="17">
        <v>2013</v>
      </c>
      <c r="V6" s="18">
        <v>6</v>
      </c>
      <c r="W6"/>
    </row>
    <row r="7" spans="1:23">
      <c r="A7" s="47" t="s">
        <v>666</v>
      </c>
      <c r="B7" s="47" t="s">
        <v>667</v>
      </c>
      <c r="C7" s="47">
        <v>6603388364</v>
      </c>
      <c r="D7" s="47" t="s">
        <v>668</v>
      </c>
      <c r="E7" s="47">
        <v>2013</v>
      </c>
      <c r="F7" s="47" t="s">
        <v>669</v>
      </c>
      <c r="G7" s="47">
        <v>34</v>
      </c>
      <c r="H7" s="47">
        <v>2</v>
      </c>
      <c r="I7" s="47"/>
      <c r="J7" s="47">
        <v>150</v>
      </c>
      <c r="K7" s="47">
        <v>169</v>
      </c>
      <c r="L7" s="47">
        <v>19</v>
      </c>
      <c r="M7" s="47">
        <v>16</v>
      </c>
      <c r="N7" s="47" t="s">
        <v>670</v>
      </c>
      <c r="O7" s="47" t="s">
        <v>671</v>
      </c>
      <c r="P7" s="47" t="s">
        <v>629</v>
      </c>
      <c r="Q7" s="48" t="s">
        <v>630</v>
      </c>
      <c r="T7"/>
      <c r="U7" s="17">
        <v>2014</v>
      </c>
      <c r="V7" s="18">
        <v>1</v>
      </c>
      <c r="W7"/>
    </row>
    <row r="8" spans="1:23">
      <c r="A8" s="47" t="s">
        <v>672</v>
      </c>
      <c r="B8" s="47" t="s">
        <v>673</v>
      </c>
      <c r="C8" s="47" t="s">
        <v>674</v>
      </c>
      <c r="D8" s="47" t="s">
        <v>675</v>
      </c>
      <c r="E8" s="47">
        <v>2013</v>
      </c>
      <c r="F8" s="47" t="s">
        <v>676</v>
      </c>
      <c r="G8" s="47">
        <v>26</v>
      </c>
      <c r="H8" s="47">
        <v>3</v>
      </c>
      <c r="I8" s="47"/>
      <c r="J8" s="47">
        <v>265</v>
      </c>
      <c r="K8" s="47">
        <v>288</v>
      </c>
      <c r="L8" s="47">
        <v>23</v>
      </c>
      <c r="M8" s="47">
        <v>44</v>
      </c>
      <c r="N8" s="47" t="s">
        <v>677</v>
      </c>
      <c r="O8" s="47" t="s">
        <v>678</v>
      </c>
      <c r="P8" s="47" t="s">
        <v>629</v>
      </c>
      <c r="Q8" s="48" t="s">
        <v>630</v>
      </c>
      <c r="T8"/>
      <c r="U8" s="17">
        <v>2015</v>
      </c>
      <c r="V8" s="18">
        <v>4</v>
      </c>
      <c r="W8"/>
    </row>
    <row r="9" spans="1:23">
      <c r="A9" s="47" t="s">
        <v>679</v>
      </c>
      <c r="B9" s="47" t="s">
        <v>680</v>
      </c>
      <c r="C9" s="47">
        <v>37098447900</v>
      </c>
      <c r="D9" s="47" t="s">
        <v>681</v>
      </c>
      <c r="E9" s="47">
        <v>2014</v>
      </c>
      <c r="F9" s="47" t="s">
        <v>682</v>
      </c>
      <c r="G9" s="47">
        <v>32</v>
      </c>
      <c r="H9" s="47">
        <v>2</v>
      </c>
      <c r="I9" s="47"/>
      <c r="J9" s="47">
        <v>13</v>
      </c>
      <c r="K9" s="47">
        <v>36</v>
      </c>
      <c r="L9" s="47">
        <v>23</v>
      </c>
      <c r="M9" s="47">
        <v>16</v>
      </c>
      <c r="N9" s="47"/>
      <c r="O9" s="47" t="s">
        <v>683</v>
      </c>
      <c r="P9" s="47" t="s">
        <v>629</v>
      </c>
      <c r="Q9" s="48" t="s">
        <v>630</v>
      </c>
      <c r="T9"/>
      <c r="U9" s="17">
        <v>2016</v>
      </c>
      <c r="V9" s="18">
        <v>7</v>
      </c>
      <c r="W9"/>
    </row>
    <row r="10" spans="1:23">
      <c r="A10" s="79" t="s">
        <v>684</v>
      </c>
      <c r="B10" s="47" t="s">
        <v>685</v>
      </c>
      <c r="C10" s="47">
        <v>36722991600</v>
      </c>
      <c r="D10" s="47" t="s">
        <v>686</v>
      </c>
      <c r="E10" s="47">
        <v>2015</v>
      </c>
      <c r="F10" s="47" t="s">
        <v>687</v>
      </c>
      <c r="G10" s="47">
        <v>55</v>
      </c>
      <c r="H10" s="47">
        <v>3</v>
      </c>
      <c r="I10" s="47"/>
      <c r="J10" s="47">
        <v>596</v>
      </c>
      <c r="K10" s="47">
        <v>617</v>
      </c>
      <c r="L10" s="47">
        <v>21</v>
      </c>
      <c r="M10" s="47">
        <v>2</v>
      </c>
      <c r="N10" s="47" t="s">
        <v>688</v>
      </c>
      <c r="O10" s="47" t="s">
        <v>689</v>
      </c>
      <c r="P10" s="47" t="s">
        <v>629</v>
      </c>
      <c r="Q10" s="48" t="s">
        <v>630</v>
      </c>
      <c r="R10" s="21" t="s">
        <v>638</v>
      </c>
      <c r="T10"/>
      <c r="U10" s="17">
        <v>2017</v>
      </c>
      <c r="V10" s="18">
        <v>6</v>
      </c>
      <c r="W10"/>
    </row>
    <row r="11" spans="1:23">
      <c r="A11" s="47" t="s">
        <v>690</v>
      </c>
      <c r="B11" s="47" t="s">
        <v>691</v>
      </c>
      <c r="C11" s="47">
        <v>7202354481</v>
      </c>
      <c r="D11" s="47" t="s">
        <v>692</v>
      </c>
      <c r="E11" s="47">
        <v>2015</v>
      </c>
      <c r="F11" s="47" t="s">
        <v>693</v>
      </c>
      <c r="G11" s="47">
        <v>2</v>
      </c>
      <c r="H11" s="47">
        <v>1</v>
      </c>
      <c r="I11" s="47"/>
      <c r="J11" s="47">
        <v>75</v>
      </c>
      <c r="K11" s="47">
        <v>91</v>
      </c>
      <c r="L11" s="47">
        <v>16</v>
      </c>
      <c r="M11" s="47">
        <v>5</v>
      </c>
      <c r="N11" s="47" t="s">
        <v>694</v>
      </c>
      <c r="O11" s="47" t="s">
        <v>695</v>
      </c>
      <c r="P11" s="47" t="s">
        <v>629</v>
      </c>
      <c r="Q11" s="48" t="s">
        <v>630</v>
      </c>
      <c r="T11"/>
      <c r="U11" s="17">
        <v>2018</v>
      </c>
      <c r="V11" s="18">
        <v>6</v>
      </c>
      <c r="W11"/>
    </row>
    <row r="12" spans="1:23">
      <c r="A12" s="47" t="s">
        <v>696</v>
      </c>
      <c r="B12" s="47" t="s">
        <v>697</v>
      </c>
      <c r="C12" s="47">
        <v>56768315300</v>
      </c>
      <c r="D12" s="47" t="s">
        <v>698</v>
      </c>
      <c r="E12" s="47">
        <v>2015</v>
      </c>
      <c r="F12" s="47" t="s">
        <v>687</v>
      </c>
      <c r="G12" s="47">
        <v>55</v>
      </c>
      <c r="H12" s="47">
        <v>3</v>
      </c>
      <c r="I12" s="47"/>
      <c r="J12" s="47">
        <v>478</v>
      </c>
      <c r="K12" s="47">
        <v>501</v>
      </c>
      <c r="L12" s="47">
        <v>23</v>
      </c>
      <c r="M12" s="47">
        <v>10</v>
      </c>
      <c r="N12" s="47" t="s">
        <v>699</v>
      </c>
      <c r="O12" s="47" t="s">
        <v>700</v>
      </c>
      <c r="P12" s="47" t="s">
        <v>629</v>
      </c>
      <c r="Q12" s="48" t="s">
        <v>630</v>
      </c>
      <c r="T12"/>
      <c r="U12" s="17">
        <v>2019</v>
      </c>
      <c r="V12" s="18">
        <v>8</v>
      </c>
      <c r="W12"/>
    </row>
    <row r="13" spans="1:23">
      <c r="A13" s="47" t="s">
        <v>701</v>
      </c>
      <c r="B13" s="47" t="s">
        <v>702</v>
      </c>
      <c r="C13" s="47">
        <v>55241621000</v>
      </c>
      <c r="D13" s="47" t="s">
        <v>703</v>
      </c>
      <c r="E13" s="47">
        <v>2015</v>
      </c>
      <c r="F13" s="47" t="s">
        <v>704</v>
      </c>
      <c r="G13" s="47">
        <v>52</v>
      </c>
      <c r="H13" s="47">
        <v>2</v>
      </c>
      <c r="I13" s="47"/>
      <c r="J13" s="47">
        <v>208</v>
      </c>
      <c r="K13" s="47">
        <v>222</v>
      </c>
      <c r="L13" s="47">
        <v>14</v>
      </c>
      <c r="M13" s="47">
        <v>43</v>
      </c>
      <c r="N13" s="47" t="s">
        <v>705</v>
      </c>
      <c r="O13" s="47" t="s">
        <v>706</v>
      </c>
      <c r="P13" s="47" t="s">
        <v>629</v>
      </c>
      <c r="Q13" s="48" t="s">
        <v>630</v>
      </c>
      <c r="T13"/>
      <c r="U13" s="17">
        <v>2020</v>
      </c>
      <c r="V13" s="18">
        <v>5</v>
      </c>
      <c r="W13"/>
    </row>
    <row r="14" spans="1:23">
      <c r="A14" s="47" t="s">
        <v>707</v>
      </c>
      <c r="B14" s="47" t="s">
        <v>708</v>
      </c>
      <c r="C14" s="47" t="s">
        <v>709</v>
      </c>
      <c r="D14" s="47" t="s">
        <v>710</v>
      </c>
      <c r="E14" s="47">
        <v>2016</v>
      </c>
      <c r="F14" s="47" t="s">
        <v>711</v>
      </c>
      <c r="G14" s="47">
        <v>17</v>
      </c>
      <c r="H14" s="47">
        <v>4</v>
      </c>
      <c r="I14" s="47"/>
      <c r="J14" s="47">
        <v>49</v>
      </c>
      <c r="K14" s="47">
        <v>57</v>
      </c>
      <c r="L14" s="47">
        <v>8</v>
      </c>
      <c r="M14" s="47">
        <v>7</v>
      </c>
      <c r="N14" s="47"/>
      <c r="O14" s="47" t="s">
        <v>712</v>
      </c>
      <c r="P14" s="47" t="s">
        <v>629</v>
      </c>
      <c r="Q14" s="48" t="s">
        <v>630</v>
      </c>
      <c r="T14"/>
      <c r="U14" s="17">
        <v>2021</v>
      </c>
      <c r="V14" s="18">
        <v>12</v>
      </c>
      <c r="W14"/>
    </row>
    <row r="15" spans="1:23">
      <c r="A15" s="79" t="s">
        <v>713</v>
      </c>
      <c r="B15" s="47" t="s">
        <v>714</v>
      </c>
      <c r="C15" s="47">
        <v>7006329617</v>
      </c>
      <c r="D15" s="47" t="s">
        <v>715</v>
      </c>
      <c r="E15" s="47">
        <v>2016</v>
      </c>
      <c r="F15" s="47" t="s">
        <v>716</v>
      </c>
      <c r="G15" s="47">
        <v>35</v>
      </c>
      <c r="H15" s="47">
        <v>1</v>
      </c>
      <c r="I15" s="47"/>
      <c r="J15" s="47">
        <v>5</v>
      </c>
      <c r="K15" s="47">
        <v>28</v>
      </c>
      <c r="L15" s="47">
        <v>23</v>
      </c>
      <c r="M15" s="47">
        <v>41</v>
      </c>
      <c r="N15" s="47" t="s">
        <v>717</v>
      </c>
      <c r="O15" s="47" t="s">
        <v>718</v>
      </c>
      <c r="P15" s="47" t="s">
        <v>629</v>
      </c>
      <c r="Q15" s="48" t="s">
        <v>630</v>
      </c>
      <c r="R15" s="21" t="s">
        <v>719</v>
      </c>
      <c r="T15"/>
      <c r="U15" s="17">
        <v>2022</v>
      </c>
      <c r="V15" s="18">
        <v>11</v>
      </c>
      <c r="W15"/>
    </row>
    <row r="16" spans="1:23">
      <c r="A16" s="47" t="s">
        <v>720</v>
      </c>
      <c r="B16" s="47" t="s">
        <v>721</v>
      </c>
      <c r="C16" s="47" t="s">
        <v>722</v>
      </c>
      <c r="D16" s="47" t="s">
        <v>723</v>
      </c>
      <c r="E16" s="47">
        <v>2016</v>
      </c>
      <c r="F16" s="47" t="s">
        <v>724</v>
      </c>
      <c r="G16" s="47">
        <v>8</v>
      </c>
      <c r="H16" s="47">
        <v>1</v>
      </c>
      <c r="I16" s="47"/>
      <c r="J16" s="47">
        <v>179</v>
      </c>
      <c r="K16" s="47">
        <v>192</v>
      </c>
      <c r="L16" s="47">
        <v>13</v>
      </c>
      <c r="M16" s="47">
        <v>10</v>
      </c>
      <c r="N16" s="47" t="s">
        <v>725</v>
      </c>
      <c r="O16" s="47" t="s">
        <v>726</v>
      </c>
      <c r="P16" s="47" t="s">
        <v>629</v>
      </c>
      <c r="Q16" s="48" t="s">
        <v>630</v>
      </c>
      <c r="T16"/>
      <c r="U16" s="17">
        <v>2023</v>
      </c>
      <c r="V16" s="18">
        <v>19</v>
      </c>
      <c r="W16"/>
    </row>
    <row r="17" spans="1:23">
      <c r="A17" s="47" t="s">
        <v>727</v>
      </c>
      <c r="B17" s="47" t="s">
        <v>728</v>
      </c>
      <c r="C17" s="47">
        <v>23501212400</v>
      </c>
      <c r="D17" s="47" t="s">
        <v>729</v>
      </c>
      <c r="E17" s="47">
        <v>2016</v>
      </c>
      <c r="F17" s="47" t="s">
        <v>730</v>
      </c>
      <c r="G17" s="47">
        <v>42</v>
      </c>
      <c r="H17" s="47">
        <v>1</v>
      </c>
      <c r="I17" s="47"/>
      <c r="J17" s="47">
        <v>38</v>
      </c>
      <c r="K17" s="47">
        <v>72</v>
      </c>
      <c r="L17" s="47">
        <v>34</v>
      </c>
      <c r="M17" s="47">
        <v>24</v>
      </c>
      <c r="N17" s="47" t="s">
        <v>731</v>
      </c>
      <c r="O17" s="47" t="s">
        <v>732</v>
      </c>
      <c r="P17" s="47" t="s">
        <v>629</v>
      </c>
      <c r="Q17" s="48" t="s">
        <v>630</v>
      </c>
      <c r="T17"/>
      <c r="U17" s="19" t="s">
        <v>576</v>
      </c>
      <c r="V17" s="20">
        <v>87</v>
      </c>
      <c r="W17"/>
    </row>
    <row r="18" spans="1:23">
      <c r="A18" s="47" t="s">
        <v>733</v>
      </c>
      <c r="B18" s="47" t="s">
        <v>734</v>
      </c>
      <c r="C18" s="47" t="s">
        <v>735</v>
      </c>
      <c r="D18" s="47" t="s">
        <v>736</v>
      </c>
      <c r="E18" s="47">
        <v>2016</v>
      </c>
      <c r="F18" s="47" t="s">
        <v>737</v>
      </c>
      <c r="G18" s="47">
        <v>22</v>
      </c>
      <c r="H18" s="47">
        <v>1</v>
      </c>
      <c r="I18" s="47"/>
      <c r="J18" s="47">
        <v>72</v>
      </c>
      <c r="K18" s="47">
        <v>98</v>
      </c>
      <c r="L18" s="47">
        <v>26</v>
      </c>
      <c r="M18" s="47">
        <v>99</v>
      </c>
      <c r="N18" s="47" t="s">
        <v>738</v>
      </c>
      <c r="O18" s="47" t="s">
        <v>739</v>
      </c>
      <c r="P18" s="47" t="s">
        <v>629</v>
      </c>
      <c r="Q18" s="48" t="s">
        <v>630</v>
      </c>
      <c r="R18" s="21" t="s">
        <v>638</v>
      </c>
      <c r="T18"/>
      <c r="U18"/>
      <c r="V18"/>
      <c r="W18"/>
    </row>
    <row r="19" spans="1:23">
      <c r="A19" s="47" t="s">
        <v>740</v>
      </c>
      <c r="B19" s="47" t="s">
        <v>741</v>
      </c>
      <c r="C19" s="47" t="s">
        <v>742</v>
      </c>
      <c r="D19" s="47" t="s">
        <v>743</v>
      </c>
      <c r="E19" s="47">
        <v>2016</v>
      </c>
      <c r="F19" s="47" t="s">
        <v>744</v>
      </c>
      <c r="G19" s="47">
        <v>22</v>
      </c>
      <c r="H19" s="49">
        <v>45448</v>
      </c>
      <c r="I19" s="47"/>
      <c r="J19" s="47">
        <v>1618</v>
      </c>
      <c r="K19" s="47">
        <v>1621</v>
      </c>
      <c r="L19" s="47">
        <v>3</v>
      </c>
      <c r="M19" s="47">
        <v>0</v>
      </c>
      <c r="N19" s="47" t="s">
        <v>745</v>
      </c>
      <c r="O19" s="47" t="s">
        <v>746</v>
      </c>
      <c r="P19" s="47" t="s">
        <v>629</v>
      </c>
      <c r="Q19" s="48" t="s">
        <v>630</v>
      </c>
      <c r="U19"/>
      <c r="V19"/>
      <c r="W19"/>
    </row>
    <row r="20" spans="1:23">
      <c r="A20" s="47" t="s">
        <v>666</v>
      </c>
      <c r="B20" s="47" t="s">
        <v>667</v>
      </c>
      <c r="C20" s="47">
        <v>6603388364</v>
      </c>
      <c r="D20" s="47" t="s">
        <v>747</v>
      </c>
      <c r="E20" s="47">
        <v>2016</v>
      </c>
      <c r="F20" s="47" t="s">
        <v>748</v>
      </c>
      <c r="G20" s="47">
        <v>7</v>
      </c>
      <c r="H20" s="47">
        <v>1</v>
      </c>
      <c r="I20" s="47"/>
      <c r="J20" s="47">
        <v>23</v>
      </c>
      <c r="K20" s="47">
        <v>51</v>
      </c>
      <c r="L20" s="47">
        <v>28</v>
      </c>
      <c r="M20" s="47">
        <v>4</v>
      </c>
      <c r="N20" s="47"/>
      <c r="O20" s="47" t="s">
        <v>749</v>
      </c>
      <c r="P20" s="47" t="s">
        <v>629</v>
      </c>
      <c r="Q20" s="48" t="s">
        <v>630</v>
      </c>
      <c r="U20"/>
      <c r="V20"/>
      <c r="W20"/>
    </row>
    <row r="21" spans="1:23">
      <c r="A21" s="47" t="s">
        <v>750</v>
      </c>
      <c r="B21" s="47" t="s">
        <v>751</v>
      </c>
      <c r="C21" s="47" t="s">
        <v>752</v>
      </c>
      <c r="D21" s="47" t="s">
        <v>753</v>
      </c>
      <c r="E21" s="47">
        <v>2017</v>
      </c>
      <c r="F21" s="47" t="s">
        <v>754</v>
      </c>
      <c r="G21" s="47">
        <v>18</v>
      </c>
      <c r="H21" s="47">
        <v>1</v>
      </c>
      <c r="I21" s="47"/>
      <c r="J21" s="47">
        <v>67</v>
      </c>
      <c r="K21" s="47">
        <v>105</v>
      </c>
      <c r="L21" s="47">
        <v>38</v>
      </c>
      <c r="M21" s="47">
        <v>6</v>
      </c>
      <c r="N21" s="47" t="s">
        <v>755</v>
      </c>
      <c r="O21" s="47" t="s">
        <v>756</v>
      </c>
      <c r="P21" s="47" t="s">
        <v>629</v>
      </c>
      <c r="Q21" s="48" t="s">
        <v>630</v>
      </c>
    </row>
    <row r="22" spans="1:23">
      <c r="A22" s="47" t="s">
        <v>757</v>
      </c>
      <c r="B22" s="47" t="s">
        <v>758</v>
      </c>
      <c r="C22" s="47">
        <v>57193954252</v>
      </c>
      <c r="D22" s="57" t="s">
        <v>759</v>
      </c>
      <c r="E22" s="47">
        <v>2017</v>
      </c>
      <c r="F22" s="47" t="s">
        <v>748</v>
      </c>
      <c r="G22" s="47">
        <v>8</v>
      </c>
      <c r="H22" s="47">
        <v>3</v>
      </c>
      <c r="I22" s="47"/>
      <c r="J22" s="47">
        <v>321</v>
      </c>
      <c r="K22" s="47">
        <v>345</v>
      </c>
      <c r="L22" s="47">
        <v>24</v>
      </c>
      <c r="M22" s="47">
        <v>4</v>
      </c>
      <c r="N22" s="47"/>
      <c r="O22" s="47" t="s">
        <v>760</v>
      </c>
      <c r="P22" s="47" t="s">
        <v>629</v>
      </c>
      <c r="Q22" s="48" t="s">
        <v>630</v>
      </c>
    </row>
    <row r="23" spans="1:23">
      <c r="A23" s="47" t="s">
        <v>761</v>
      </c>
      <c r="B23" s="47" t="s">
        <v>762</v>
      </c>
      <c r="C23" s="47">
        <v>8621482100</v>
      </c>
      <c r="D23" s="47" t="s">
        <v>763</v>
      </c>
      <c r="E23" s="47">
        <v>2017</v>
      </c>
      <c r="F23" s="47" t="s">
        <v>764</v>
      </c>
      <c r="G23" s="47">
        <v>62</v>
      </c>
      <c r="H23" s="47">
        <v>3</v>
      </c>
      <c r="I23" s="47"/>
      <c r="J23" s="47">
        <v>721</v>
      </c>
      <c r="K23" s="47">
        <v>740</v>
      </c>
      <c r="L23" s="47">
        <v>19</v>
      </c>
      <c r="M23" s="47">
        <v>29</v>
      </c>
      <c r="N23" s="47" t="s">
        <v>765</v>
      </c>
      <c r="O23" s="47" t="s">
        <v>766</v>
      </c>
      <c r="P23" s="47" t="s">
        <v>629</v>
      </c>
      <c r="Q23" s="48" t="s">
        <v>630</v>
      </c>
    </row>
    <row r="24" spans="1:23">
      <c r="A24" s="47" t="s">
        <v>767</v>
      </c>
      <c r="B24" s="47" t="s">
        <v>768</v>
      </c>
      <c r="C24" s="47" t="s">
        <v>769</v>
      </c>
      <c r="D24" s="47" t="s">
        <v>770</v>
      </c>
      <c r="E24" s="47">
        <v>2017</v>
      </c>
      <c r="F24" s="47" t="s">
        <v>771</v>
      </c>
      <c r="G24" s="47">
        <v>29</v>
      </c>
      <c r="H24" s="47">
        <v>3</v>
      </c>
      <c r="I24" s="47"/>
      <c r="J24" s="47">
        <v>455</v>
      </c>
      <c r="K24" s="47">
        <v>473</v>
      </c>
      <c r="L24" s="47">
        <v>18</v>
      </c>
      <c r="M24" s="47">
        <v>2</v>
      </c>
      <c r="N24" s="47"/>
      <c r="O24" s="47" t="s">
        <v>772</v>
      </c>
      <c r="P24" s="47" t="s">
        <v>629</v>
      </c>
      <c r="Q24" s="48" t="s">
        <v>630</v>
      </c>
    </row>
    <row r="25" spans="1:23">
      <c r="A25" s="47" t="s">
        <v>773</v>
      </c>
      <c r="B25" s="47" t="s">
        <v>774</v>
      </c>
      <c r="C25" s="47">
        <v>56224826100</v>
      </c>
      <c r="D25" s="47" t="s">
        <v>775</v>
      </c>
      <c r="E25" s="47">
        <v>2017</v>
      </c>
      <c r="F25" s="47" t="s">
        <v>776</v>
      </c>
      <c r="G25" s="47">
        <v>48</v>
      </c>
      <c r="H25" s="47">
        <v>1</v>
      </c>
      <c r="I25" s="47"/>
      <c r="J25" s="47">
        <v>17</v>
      </c>
      <c r="K25" s="47">
        <v>34</v>
      </c>
      <c r="L25" s="47">
        <v>17</v>
      </c>
      <c r="M25" s="47">
        <v>16</v>
      </c>
      <c r="N25" s="47" t="s">
        <v>777</v>
      </c>
      <c r="O25" s="47" t="s">
        <v>778</v>
      </c>
      <c r="P25" s="47" t="s">
        <v>629</v>
      </c>
      <c r="Q25" s="48" t="s">
        <v>630</v>
      </c>
    </row>
    <row r="26" spans="1:23">
      <c r="A26" s="47" t="s">
        <v>779</v>
      </c>
      <c r="B26" s="47" t="s">
        <v>780</v>
      </c>
      <c r="C26" s="47">
        <v>57194088538</v>
      </c>
      <c r="D26" s="47" t="s">
        <v>781</v>
      </c>
      <c r="E26" s="47">
        <v>2017</v>
      </c>
      <c r="F26" s="47" t="s">
        <v>782</v>
      </c>
      <c r="G26" s="47">
        <v>17</v>
      </c>
      <c r="H26" s="47">
        <v>1</v>
      </c>
      <c r="I26" s="47"/>
      <c r="J26" s="47">
        <v>52</v>
      </c>
      <c r="K26" s="47">
        <v>65</v>
      </c>
      <c r="L26" s="47">
        <v>13</v>
      </c>
      <c r="M26" s="47">
        <v>1</v>
      </c>
      <c r="N26" s="47"/>
      <c r="O26" s="47" t="s">
        <v>783</v>
      </c>
      <c r="P26" s="47" t="s">
        <v>629</v>
      </c>
      <c r="Q26" s="48" t="s">
        <v>630</v>
      </c>
    </row>
    <row r="27" spans="1:23">
      <c r="A27" s="47" t="s">
        <v>784</v>
      </c>
      <c r="B27" s="47" t="s">
        <v>785</v>
      </c>
      <c r="C27" s="47">
        <v>57194554238</v>
      </c>
      <c r="D27" s="47" t="s">
        <v>786</v>
      </c>
      <c r="E27" s="47">
        <v>2018</v>
      </c>
      <c r="F27" s="47" t="s">
        <v>676</v>
      </c>
      <c r="G27" s="47">
        <v>31</v>
      </c>
      <c r="H27" s="47">
        <v>2</v>
      </c>
      <c r="I27" s="47"/>
      <c r="J27" s="47">
        <v>205</v>
      </c>
      <c r="K27" s="47">
        <v>220</v>
      </c>
      <c r="L27" s="47">
        <v>15</v>
      </c>
      <c r="M27" s="47">
        <v>9</v>
      </c>
      <c r="N27" s="47" t="s">
        <v>787</v>
      </c>
      <c r="O27" s="47" t="s">
        <v>788</v>
      </c>
      <c r="P27" s="47" t="s">
        <v>629</v>
      </c>
      <c r="Q27" s="48" t="s">
        <v>630</v>
      </c>
    </row>
    <row r="28" spans="1:23">
      <c r="A28" s="47" t="s">
        <v>789</v>
      </c>
      <c r="B28" s="47" t="s">
        <v>790</v>
      </c>
      <c r="C28" s="47">
        <v>56100186700</v>
      </c>
      <c r="D28" s="47" t="s">
        <v>791</v>
      </c>
      <c r="E28" s="47">
        <v>2018</v>
      </c>
      <c r="F28" s="47" t="s">
        <v>792</v>
      </c>
      <c r="G28" s="47">
        <v>27</v>
      </c>
      <c r="H28" s="47">
        <v>111</v>
      </c>
      <c r="I28" s="47"/>
      <c r="J28" s="47">
        <v>344</v>
      </c>
      <c r="K28" s="47">
        <v>361</v>
      </c>
      <c r="L28" s="47">
        <v>17</v>
      </c>
      <c r="M28" s="47">
        <v>24</v>
      </c>
      <c r="N28" s="47" t="s">
        <v>793</v>
      </c>
      <c r="O28" s="47" t="s">
        <v>794</v>
      </c>
      <c r="P28" s="47" t="s">
        <v>629</v>
      </c>
      <c r="Q28" s="48" t="s">
        <v>630</v>
      </c>
    </row>
    <row r="29" spans="1:23">
      <c r="A29" s="47" t="s">
        <v>795</v>
      </c>
      <c r="B29" s="47" t="s">
        <v>796</v>
      </c>
      <c r="C29" s="47">
        <v>55613176800</v>
      </c>
      <c r="D29" s="47" t="s">
        <v>797</v>
      </c>
      <c r="E29" s="47">
        <v>2018</v>
      </c>
      <c r="F29" s="47" t="s">
        <v>798</v>
      </c>
      <c r="G29" s="47">
        <v>55</v>
      </c>
      <c r="H29" s="47">
        <v>3</v>
      </c>
      <c r="I29" s="47"/>
      <c r="J29" s="47">
        <v>213</v>
      </c>
      <c r="K29" s="47">
        <v>237</v>
      </c>
      <c r="L29" s="47">
        <v>24</v>
      </c>
      <c r="M29" s="47">
        <v>19</v>
      </c>
      <c r="N29" s="47" t="s">
        <v>799</v>
      </c>
      <c r="O29" s="47" t="s">
        <v>800</v>
      </c>
      <c r="P29" s="47" t="s">
        <v>629</v>
      </c>
      <c r="Q29" s="48" t="s">
        <v>630</v>
      </c>
      <c r="R29" s="21" t="s">
        <v>665</v>
      </c>
    </row>
    <row r="30" spans="1:23">
      <c r="A30" s="47" t="s">
        <v>801</v>
      </c>
      <c r="B30" s="47" t="s">
        <v>802</v>
      </c>
      <c r="C30" s="47">
        <v>55934195900</v>
      </c>
      <c r="D30" s="47" t="s">
        <v>803</v>
      </c>
      <c r="E30" s="47">
        <v>2018</v>
      </c>
      <c r="F30" s="47" t="s">
        <v>804</v>
      </c>
      <c r="G30" s="47">
        <v>89</v>
      </c>
      <c r="H30" s="47"/>
      <c r="I30" s="47"/>
      <c r="J30" s="47">
        <v>67</v>
      </c>
      <c r="K30" s="47">
        <v>76</v>
      </c>
      <c r="L30" s="47">
        <v>9</v>
      </c>
      <c r="M30" s="47">
        <v>48</v>
      </c>
      <c r="N30" s="47" t="s">
        <v>805</v>
      </c>
      <c r="O30" s="47" t="s">
        <v>806</v>
      </c>
      <c r="P30" s="47" t="s">
        <v>629</v>
      </c>
      <c r="Q30" s="48" t="s">
        <v>630</v>
      </c>
      <c r="R30" s="21" t="s">
        <v>638</v>
      </c>
    </row>
    <row r="31" spans="1:23">
      <c r="A31" s="47" t="s">
        <v>807</v>
      </c>
      <c r="B31" s="47" t="s">
        <v>808</v>
      </c>
      <c r="C31" s="47" t="s">
        <v>809</v>
      </c>
      <c r="D31" s="47" t="s">
        <v>810</v>
      </c>
      <c r="E31" s="47">
        <v>2018</v>
      </c>
      <c r="F31" s="47" t="s">
        <v>693</v>
      </c>
      <c r="G31" s="47">
        <v>5</v>
      </c>
      <c r="H31" s="47">
        <v>3</v>
      </c>
      <c r="I31" s="47"/>
      <c r="J31" s="47">
        <v>295</v>
      </c>
      <c r="K31" s="47">
        <v>318</v>
      </c>
      <c r="L31" s="47">
        <v>23</v>
      </c>
      <c r="M31" s="47">
        <v>12</v>
      </c>
      <c r="N31" s="47" t="s">
        <v>811</v>
      </c>
      <c r="O31" s="47" t="s">
        <v>812</v>
      </c>
      <c r="P31" s="47" t="s">
        <v>629</v>
      </c>
      <c r="Q31" s="48" t="s">
        <v>630</v>
      </c>
    </row>
    <row r="32" spans="1:23">
      <c r="A32" s="47" t="s">
        <v>813</v>
      </c>
      <c r="B32" s="47" t="s">
        <v>814</v>
      </c>
      <c r="C32" s="47">
        <v>24481240500</v>
      </c>
      <c r="D32" s="47" t="s">
        <v>815</v>
      </c>
      <c r="E32" s="47">
        <v>2018</v>
      </c>
      <c r="F32" s="47" t="s">
        <v>724</v>
      </c>
      <c r="G32" s="47">
        <v>10</v>
      </c>
      <c r="H32" s="47">
        <v>2</v>
      </c>
      <c r="I32" s="47"/>
      <c r="J32" s="47">
        <v>219</v>
      </c>
      <c r="K32" s="47">
        <v>246</v>
      </c>
      <c r="L32" s="47">
        <v>27</v>
      </c>
      <c r="M32" s="47">
        <v>4</v>
      </c>
      <c r="N32" s="47" t="s">
        <v>816</v>
      </c>
      <c r="O32" s="47" t="s">
        <v>817</v>
      </c>
      <c r="P32" s="47" t="s">
        <v>629</v>
      </c>
      <c r="Q32" s="48" t="s">
        <v>630</v>
      </c>
    </row>
    <row r="33" spans="1:18">
      <c r="A33" s="47" t="s">
        <v>713</v>
      </c>
      <c r="B33" s="47" t="s">
        <v>714</v>
      </c>
      <c r="C33" s="47">
        <v>7006329617</v>
      </c>
      <c r="D33" s="47" t="s">
        <v>818</v>
      </c>
      <c r="E33" s="47">
        <v>2019</v>
      </c>
      <c r="F33" s="47" t="s">
        <v>819</v>
      </c>
      <c r="G33" s="47">
        <v>92</v>
      </c>
      <c r="H33" s="47">
        <v>3</v>
      </c>
      <c r="I33" s="47"/>
      <c r="J33" s="47">
        <v>515</v>
      </c>
      <c r="K33" s="47">
        <v>523</v>
      </c>
      <c r="L33" s="47">
        <v>8</v>
      </c>
      <c r="M33" s="47">
        <v>2</v>
      </c>
      <c r="N33" s="47" t="s">
        <v>820</v>
      </c>
      <c r="O33" s="47" t="s">
        <v>821</v>
      </c>
      <c r="P33" s="47" t="s">
        <v>629</v>
      </c>
      <c r="Q33" s="48" t="s">
        <v>630</v>
      </c>
    </row>
    <row r="34" spans="1:18">
      <c r="A34" s="47" t="s">
        <v>822</v>
      </c>
      <c r="B34" s="47" t="s">
        <v>823</v>
      </c>
      <c r="C34" s="47" t="s">
        <v>824</v>
      </c>
      <c r="D34" s="47" t="s">
        <v>825</v>
      </c>
      <c r="E34" s="47">
        <v>2019</v>
      </c>
      <c r="F34" s="47" t="s">
        <v>826</v>
      </c>
      <c r="G34" s="47">
        <v>27</v>
      </c>
      <c r="H34" s="47"/>
      <c r="I34" s="47"/>
      <c r="J34" s="47">
        <v>783</v>
      </c>
      <c r="K34" s="47">
        <v>798</v>
      </c>
      <c r="L34" s="47">
        <v>15</v>
      </c>
      <c r="M34" s="47">
        <v>2</v>
      </c>
      <c r="N34" s="47"/>
      <c r="O34" s="47" t="s">
        <v>827</v>
      </c>
      <c r="P34" s="47" t="s">
        <v>629</v>
      </c>
      <c r="Q34" s="48" t="s">
        <v>630</v>
      </c>
    </row>
    <row r="35" spans="1:18">
      <c r="A35" s="47" t="s">
        <v>828</v>
      </c>
      <c r="B35" s="47" t="s">
        <v>829</v>
      </c>
      <c r="C35" s="47">
        <v>6603105847</v>
      </c>
      <c r="D35" s="47" t="s">
        <v>830</v>
      </c>
      <c r="E35" s="47">
        <v>2019</v>
      </c>
      <c r="F35" s="47" t="s">
        <v>831</v>
      </c>
      <c r="G35" s="47">
        <v>28</v>
      </c>
      <c r="H35" s="47">
        <v>4</v>
      </c>
      <c r="I35" s="47"/>
      <c r="J35" s="47">
        <v>473</v>
      </c>
      <c r="K35" s="47">
        <v>492</v>
      </c>
      <c r="L35" s="47">
        <v>19</v>
      </c>
      <c r="M35" s="47">
        <v>13</v>
      </c>
      <c r="N35" s="47" t="s">
        <v>832</v>
      </c>
      <c r="O35" s="47" t="s">
        <v>833</v>
      </c>
      <c r="P35" s="47" t="s">
        <v>629</v>
      </c>
      <c r="Q35" s="48" t="s">
        <v>630</v>
      </c>
    </row>
    <row r="36" spans="1:18">
      <c r="A36" s="47" t="s">
        <v>834</v>
      </c>
      <c r="B36" s="47" t="s">
        <v>835</v>
      </c>
      <c r="C36" s="47">
        <v>57211913606</v>
      </c>
      <c r="D36" s="47" t="s">
        <v>836</v>
      </c>
      <c r="E36" s="47">
        <v>2019</v>
      </c>
      <c r="F36" s="47" t="s">
        <v>724</v>
      </c>
      <c r="G36" s="47">
        <v>11</v>
      </c>
      <c r="H36" s="47">
        <v>4</v>
      </c>
      <c r="I36" s="47"/>
      <c r="J36" s="47">
        <v>606</v>
      </c>
      <c r="K36" s="47">
        <v>622</v>
      </c>
      <c r="L36" s="47">
        <v>16</v>
      </c>
      <c r="M36" s="47">
        <v>12</v>
      </c>
      <c r="N36" s="47" t="s">
        <v>837</v>
      </c>
      <c r="O36" s="47" t="s">
        <v>838</v>
      </c>
      <c r="P36" s="47" t="s">
        <v>629</v>
      </c>
      <c r="Q36" s="48" t="s">
        <v>630</v>
      </c>
    </row>
    <row r="37" spans="1:18">
      <c r="A37" s="47" t="s">
        <v>839</v>
      </c>
      <c r="B37" s="47" t="s">
        <v>840</v>
      </c>
      <c r="C37" s="47" t="s">
        <v>841</v>
      </c>
      <c r="D37" s="47" t="s">
        <v>842</v>
      </c>
      <c r="E37" s="47">
        <v>2019</v>
      </c>
      <c r="F37" s="47" t="s">
        <v>843</v>
      </c>
      <c r="G37" s="47">
        <v>33</v>
      </c>
      <c r="H37" s="47">
        <v>3</v>
      </c>
      <c r="I37" s="47"/>
      <c r="J37" s="47">
        <v>1028</v>
      </c>
      <c r="K37" s="47">
        <v>1049</v>
      </c>
      <c r="L37" s="47">
        <v>21</v>
      </c>
      <c r="M37" s="47">
        <v>4</v>
      </c>
      <c r="N37" s="47" t="s">
        <v>844</v>
      </c>
      <c r="O37" s="47" t="s">
        <v>845</v>
      </c>
      <c r="P37" s="47" t="s">
        <v>629</v>
      </c>
      <c r="Q37" s="48" t="s">
        <v>630</v>
      </c>
    </row>
    <row r="38" spans="1:18">
      <c r="A38" s="47" t="s">
        <v>713</v>
      </c>
      <c r="B38" s="47" t="s">
        <v>714</v>
      </c>
      <c r="C38" s="47">
        <v>7006329617</v>
      </c>
      <c r="D38" s="47" t="s">
        <v>846</v>
      </c>
      <c r="E38" s="47">
        <v>2019</v>
      </c>
      <c r="F38" s="47" t="s">
        <v>676</v>
      </c>
      <c r="G38" s="47">
        <v>32</v>
      </c>
      <c r="H38" s="47">
        <v>2</v>
      </c>
      <c r="I38" s="47"/>
      <c r="J38" s="47">
        <v>245</v>
      </c>
      <c r="K38" s="47">
        <v>255</v>
      </c>
      <c r="L38" s="47">
        <v>10</v>
      </c>
      <c r="M38" s="47">
        <v>22</v>
      </c>
      <c r="N38" s="47" t="s">
        <v>847</v>
      </c>
      <c r="O38" s="47" t="s">
        <v>848</v>
      </c>
      <c r="P38" s="47" t="s">
        <v>629</v>
      </c>
      <c r="Q38" s="48" t="s">
        <v>630</v>
      </c>
    </row>
    <row r="39" spans="1:18">
      <c r="A39" s="47" t="s">
        <v>849</v>
      </c>
      <c r="B39" s="47" t="s">
        <v>850</v>
      </c>
      <c r="C39" s="47" t="s">
        <v>851</v>
      </c>
      <c r="D39" s="47" t="s">
        <v>852</v>
      </c>
      <c r="E39" s="47">
        <v>2019</v>
      </c>
      <c r="F39" s="47" t="s">
        <v>853</v>
      </c>
      <c r="G39" s="47">
        <v>34</v>
      </c>
      <c r="H39" s="47">
        <v>3</v>
      </c>
      <c r="I39" s="47"/>
      <c r="J39" s="47">
        <v>317</v>
      </c>
      <c r="K39" s="47">
        <v>344</v>
      </c>
      <c r="L39" s="47">
        <v>27</v>
      </c>
      <c r="M39" s="47">
        <v>5</v>
      </c>
      <c r="N39" s="47" t="s">
        <v>854</v>
      </c>
      <c r="O39" s="47" t="s">
        <v>855</v>
      </c>
      <c r="P39" s="47" t="s">
        <v>629</v>
      </c>
      <c r="Q39" s="48" t="s">
        <v>630</v>
      </c>
    </row>
    <row r="40" spans="1:18">
      <c r="A40" s="47" t="s">
        <v>856</v>
      </c>
      <c r="B40" s="47" t="s">
        <v>857</v>
      </c>
      <c r="C40" s="47">
        <v>59278425200</v>
      </c>
      <c r="D40" s="47" t="s">
        <v>858</v>
      </c>
      <c r="E40" s="47">
        <v>2019</v>
      </c>
      <c r="F40" s="47" t="s">
        <v>693</v>
      </c>
      <c r="G40" s="47">
        <v>6</v>
      </c>
      <c r="H40" s="47">
        <v>1</v>
      </c>
      <c r="I40" s="47"/>
      <c r="J40" s="47">
        <v>1</v>
      </c>
      <c r="K40" s="47">
        <v>29</v>
      </c>
      <c r="L40" s="47">
        <v>28</v>
      </c>
      <c r="M40" s="47">
        <v>10</v>
      </c>
      <c r="N40" s="47" t="s">
        <v>859</v>
      </c>
      <c r="O40" s="47" t="s">
        <v>860</v>
      </c>
      <c r="P40" s="47" t="s">
        <v>629</v>
      </c>
      <c r="Q40" s="48" t="s">
        <v>630</v>
      </c>
      <c r="R40" s="21" t="s">
        <v>861</v>
      </c>
    </row>
    <row r="41" spans="1:18">
      <c r="A41" s="47" t="s">
        <v>862</v>
      </c>
      <c r="B41" s="47" t="s">
        <v>863</v>
      </c>
      <c r="C41" s="47">
        <v>55918320500</v>
      </c>
      <c r="D41" s="47" t="s">
        <v>864</v>
      </c>
      <c r="E41" s="47">
        <v>2020</v>
      </c>
      <c r="F41" s="47" t="s">
        <v>865</v>
      </c>
      <c r="G41" s="47">
        <v>44</v>
      </c>
      <c r="H41" s="47">
        <v>1</v>
      </c>
      <c r="I41" s="47"/>
      <c r="J41" s="47">
        <v>97</v>
      </c>
      <c r="K41" s="47">
        <v>116</v>
      </c>
      <c r="L41" s="47">
        <v>19</v>
      </c>
      <c r="M41" s="47">
        <v>6</v>
      </c>
      <c r="N41" s="47" t="s">
        <v>866</v>
      </c>
      <c r="O41" s="47" t="s">
        <v>867</v>
      </c>
      <c r="P41" s="47" t="s">
        <v>629</v>
      </c>
      <c r="Q41" s="48" t="s">
        <v>630</v>
      </c>
    </row>
    <row r="42" spans="1:18">
      <c r="A42" s="47" t="s">
        <v>868</v>
      </c>
      <c r="B42" s="47" t="s">
        <v>869</v>
      </c>
      <c r="C42" s="47">
        <v>57221233901</v>
      </c>
      <c r="D42" s="47" t="s">
        <v>870</v>
      </c>
      <c r="E42" s="47">
        <v>2020</v>
      </c>
      <c r="F42" s="47" t="s">
        <v>871</v>
      </c>
      <c r="G42" s="47"/>
      <c r="H42" s="47">
        <v>13</v>
      </c>
      <c r="I42" s="47"/>
      <c r="J42" s="47">
        <v>215</v>
      </c>
      <c r="K42" s="47">
        <v>227</v>
      </c>
      <c r="L42" s="47">
        <v>12</v>
      </c>
      <c r="M42" s="47">
        <v>0</v>
      </c>
      <c r="N42" s="47" t="s">
        <v>872</v>
      </c>
      <c r="O42" s="47" t="s">
        <v>873</v>
      </c>
      <c r="P42" s="47" t="s">
        <v>629</v>
      </c>
      <c r="Q42" s="48" t="s">
        <v>630</v>
      </c>
      <c r="R42" s="21" t="s">
        <v>719</v>
      </c>
    </row>
    <row r="43" spans="1:18">
      <c r="A43" s="47" t="s">
        <v>874</v>
      </c>
      <c r="B43" s="47" t="s">
        <v>875</v>
      </c>
      <c r="C43" s="47" t="s">
        <v>876</v>
      </c>
      <c r="D43" s="47" t="s">
        <v>877</v>
      </c>
      <c r="E43" s="47">
        <v>2020</v>
      </c>
      <c r="F43" s="47" t="s">
        <v>878</v>
      </c>
      <c r="G43" s="47">
        <v>17</v>
      </c>
      <c r="H43" s="47">
        <v>4</v>
      </c>
      <c r="I43" s="47">
        <v>5</v>
      </c>
      <c r="J43" s="47">
        <v>539</v>
      </c>
      <c r="K43" s="47">
        <v>564</v>
      </c>
      <c r="L43" s="47">
        <v>25</v>
      </c>
      <c r="M43" s="47">
        <v>3</v>
      </c>
      <c r="N43" s="47" t="s">
        <v>879</v>
      </c>
      <c r="O43" s="47" t="s">
        <v>880</v>
      </c>
      <c r="P43" s="47" t="s">
        <v>629</v>
      </c>
      <c r="Q43" s="48" t="s">
        <v>630</v>
      </c>
      <c r="R43" s="21" t="s">
        <v>719</v>
      </c>
    </row>
    <row r="44" spans="1:18">
      <c r="A44" s="47" t="s">
        <v>881</v>
      </c>
      <c r="B44" s="47" t="s">
        <v>882</v>
      </c>
      <c r="C44" s="47" t="s">
        <v>883</v>
      </c>
      <c r="D44" s="47" t="s">
        <v>884</v>
      </c>
      <c r="E44" s="47">
        <v>2020</v>
      </c>
      <c r="F44" s="47" t="s">
        <v>804</v>
      </c>
      <c r="G44" s="47">
        <v>111</v>
      </c>
      <c r="H44" s="47"/>
      <c r="I44" s="47">
        <v>103724</v>
      </c>
      <c r="J44" s="47"/>
      <c r="K44" s="47"/>
      <c r="L44" s="47"/>
      <c r="M44" s="47">
        <v>6</v>
      </c>
      <c r="N44" s="47" t="s">
        <v>885</v>
      </c>
      <c r="O44" s="47" t="s">
        <v>886</v>
      </c>
      <c r="P44" s="47" t="s">
        <v>629</v>
      </c>
      <c r="Q44" s="48" t="s">
        <v>630</v>
      </c>
      <c r="R44" s="21" t="s">
        <v>638</v>
      </c>
    </row>
    <row r="45" spans="1:18">
      <c r="A45" s="47" t="s">
        <v>887</v>
      </c>
      <c r="B45" s="47" t="s">
        <v>888</v>
      </c>
      <c r="C45" s="47" t="s">
        <v>889</v>
      </c>
      <c r="D45" s="47" t="s">
        <v>890</v>
      </c>
      <c r="E45" s="47">
        <v>2020</v>
      </c>
      <c r="F45" s="47" t="s">
        <v>891</v>
      </c>
      <c r="G45" s="47">
        <v>56</v>
      </c>
      <c r="H45" s="47">
        <v>1</v>
      </c>
      <c r="I45" s="47"/>
      <c r="J45" s="47">
        <v>39</v>
      </c>
      <c r="K45" s="47">
        <v>59</v>
      </c>
      <c r="L45" s="47">
        <v>20</v>
      </c>
      <c r="M45" s="47">
        <v>10</v>
      </c>
      <c r="N45" s="47" t="s">
        <v>892</v>
      </c>
      <c r="O45" s="47" t="s">
        <v>893</v>
      </c>
      <c r="P45" s="47" t="s">
        <v>629</v>
      </c>
      <c r="Q45" s="48" t="s">
        <v>630</v>
      </c>
    </row>
    <row r="46" spans="1:18">
      <c r="A46" s="47" t="s">
        <v>894</v>
      </c>
      <c r="B46" s="47" t="s">
        <v>895</v>
      </c>
      <c r="C46" s="47">
        <v>57226887668</v>
      </c>
      <c r="D46" s="47" t="s">
        <v>896</v>
      </c>
      <c r="E46" s="47">
        <v>2021</v>
      </c>
      <c r="F46" s="47" t="s">
        <v>748</v>
      </c>
      <c r="G46" s="47">
        <v>12</v>
      </c>
      <c r="H46" s="47">
        <v>1</v>
      </c>
      <c r="I46" s="47"/>
      <c r="J46" s="47">
        <v>47</v>
      </c>
      <c r="K46" s="47">
        <v>64</v>
      </c>
      <c r="L46" s="47">
        <v>17</v>
      </c>
      <c r="M46" s="47">
        <v>0</v>
      </c>
      <c r="N46" s="47"/>
      <c r="O46" s="47" t="s">
        <v>897</v>
      </c>
      <c r="P46" s="47" t="s">
        <v>629</v>
      </c>
      <c r="Q46" s="48" t="s">
        <v>630</v>
      </c>
    </row>
    <row r="47" spans="1:18">
      <c r="A47" s="47" t="s">
        <v>898</v>
      </c>
      <c r="B47" s="47" t="s">
        <v>899</v>
      </c>
      <c r="C47" s="47" t="s">
        <v>900</v>
      </c>
      <c r="D47" s="47" t="s">
        <v>901</v>
      </c>
      <c r="E47" s="47">
        <v>2021</v>
      </c>
      <c r="F47" s="47" t="s">
        <v>764</v>
      </c>
      <c r="G47" s="47">
        <v>66</v>
      </c>
      <c r="H47" s="47">
        <v>1</v>
      </c>
      <c r="I47" s="47"/>
      <c r="J47" s="47">
        <v>243</v>
      </c>
      <c r="K47" s="47">
        <v>267</v>
      </c>
      <c r="L47" s="47">
        <v>24</v>
      </c>
      <c r="M47" s="47">
        <v>6</v>
      </c>
      <c r="N47" s="47" t="s">
        <v>902</v>
      </c>
      <c r="O47" s="47" t="s">
        <v>903</v>
      </c>
      <c r="P47" s="47" t="s">
        <v>629</v>
      </c>
      <c r="Q47" s="48" t="s">
        <v>630</v>
      </c>
    </row>
    <row r="48" spans="1:18">
      <c r="A48" s="47" t="s">
        <v>904</v>
      </c>
      <c r="B48" s="47" t="s">
        <v>905</v>
      </c>
      <c r="C48" s="47" t="s">
        <v>906</v>
      </c>
      <c r="D48" s="47" t="s">
        <v>907</v>
      </c>
      <c r="E48" s="47">
        <v>2021</v>
      </c>
      <c r="F48" s="47" t="s">
        <v>908</v>
      </c>
      <c r="G48" s="47">
        <v>75</v>
      </c>
      <c r="H48" s="47">
        <v>3</v>
      </c>
      <c r="I48" s="47"/>
      <c r="J48" s="47">
        <v>277</v>
      </c>
      <c r="K48" s="47">
        <v>304</v>
      </c>
      <c r="L48" s="47">
        <v>27</v>
      </c>
      <c r="M48" s="47">
        <v>18</v>
      </c>
      <c r="N48" s="47" t="s">
        <v>909</v>
      </c>
      <c r="O48" s="47" t="s">
        <v>910</v>
      </c>
      <c r="P48" s="47" t="s">
        <v>629</v>
      </c>
      <c r="Q48" s="48" t="s">
        <v>630</v>
      </c>
    </row>
    <row r="49" spans="1:18">
      <c r="A49" s="47" t="s">
        <v>911</v>
      </c>
      <c r="B49" s="47" t="s">
        <v>912</v>
      </c>
      <c r="C49" s="47">
        <v>57211780008</v>
      </c>
      <c r="D49" s="47" t="s">
        <v>913</v>
      </c>
      <c r="E49" s="47">
        <v>2021</v>
      </c>
      <c r="F49" s="47" t="s">
        <v>676</v>
      </c>
      <c r="G49" s="47">
        <v>34</v>
      </c>
      <c r="H49" s="47">
        <v>5</v>
      </c>
      <c r="I49" s="47"/>
      <c r="J49" s="47">
        <v>697</v>
      </c>
      <c r="K49" s="47">
        <v>723</v>
      </c>
      <c r="L49" s="47">
        <v>26</v>
      </c>
      <c r="M49" s="47">
        <v>6</v>
      </c>
      <c r="N49" s="47" t="s">
        <v>914</v>
      </c>
      <c r="O49" s="47" t="s">
        <v>915</v>
      </c>
      <c r="P49" s="47" t="s">
        <v>629</v>
      </c>
      <c r="Q49" s="48" t="s">
        <v>630</v>
      </c>
    </row>
    <row r="50" spans="1:18">
      <c r="A50" s="47" t="s">
        <v>916</v>
      </c>
      <c r="B50" s="47" t="s">
        <v>917</v>
      </c>
      <c r="C50" s="47" t="s">
        <v>918</v>
      </c>
      <c r="D50" s="47" t="s">
        <v>919</v>
      </c>
      <c r="E50" s="47">
        <v>2021</v>
      </c>
      <c r="F50" s="47" t="s">
        <v>920</v>
      </c>
      <c r="G50" s="47">
        <v>7</v>
      </c>
      <c r="H50" s="47">
        <v>3</v>
      </c>
      <c r="I50" s="47"/>
      <c r="J50" s="47">
        <v>1081</v>
      </c>
      <c r="K50" s="47">
        <v>1189</v>
      </c>
      <c r="L50" s="47">
        <v>108</v>
      </c>
      <c r="M50" s="47">
        <v>3</v>
      </c>
      <c r="N50" s="47"/>
      <c r="O50" s="47" t="s">
        <v>921</v>
      </c>
      <c r="P50" s="47" t="s">
        <v>629</v>
      </c>
      <c r="Q50" s="48" t="s">
        <v>630</v>
      </c>
    </row>
    <row r="51" spans="1:18">
      <c r="A51" s="47" t="s">
        <v>922</v>
      </c>
      <c r="B51" s="47" t="s">
        <v>923</v>
      </c>
      <c r="C51" s="47" t="s">
        <v>924</v>
      </c>
      <c r="D51" s="47" t="s">
        <v>925</v>
      </c>
      <c r="E51" s="47">
        <v>2021</v>
      </c>
      <c r="F51" s="47" t="s">
        <v>926</v>
      </c>
      <c r="G51" s="47">
        <v>10</v>
      </c>
      <c r="H51" s="47">
        <v>2</v>
      </c>
      <c r="I51" s="47"/>
      <c r="J51" s="47">
        <v>51</v>
      </c>
      <c r="K51" s="47">
        <v>72</v>
      </c>
      <c r="L51" s="47">
        <v>21</v>
      </c>
      <c r="M51" s="47">
        <v>4</v>
      </c>
      <c r="N51" s="47" t="s">
        <v>927</v>
      </c>
      <c r="O51" s="47" t="s">
        <v>928</v>
      </c>
      <c r="P51" s="47" t="s">
        <v>629</v>
      </c>
      <c r="Q51" s="48" t="s">
        <v>630</v>
      </c>
    </row>
    <row r="52" spans="1:18">
      <c r="A52" s="47" t="s">
        <v>929</v>
      </c>
      <c r="B52" s="47" t="s">
        <v>930</v>
      </c>
      <c r="C52" s="47">
        <v>57221233372</v>
      </c>
      <c r="D52" s="47" t="s">
        <v>931</v>
      </c>
      <c r="E52" s="47">
        <v>2021</v>
      </c>
      <c r="F52" s="47" t="s">
        <v>693</v>
      </c>
      <c r="G52" s="47">
        <v>8</v>
      </c>
      <c r="H52" s="47">
        <v>2</v>
      </c>
      <c r="I52" s="47"/>
      <c r="J52" s="47">
        <v>174</v>
      </c>
      <c r="K52" s="47">
        <v>194</v>
      </c>
      <c r="L52" s="47">
        <v>20</v>
      </c>
      <c r="M52" s="47">
        <v>7</v>
      </c>
      <c r="N52" s="47" t="s">
        <v>932</v>
      </c>
      <c r="O52" s="47" t="s">
        <v>933</v>
      </c>
      <c r="P52" s="47" t="s">
        <v>629</v>
      </c>
      <c r="Q52" s="48" t="s">
        <v>630</v>
      </c>
    </row>
    <row r="53" spans="1:18">
      <c r="A53" s="47" t="s">
        <v>934</v>
      </c>
      <c r="B53" s="47" t="s">
        <v>935</v>
      </c>
      <c r="C53" s="47">
        <v>57449672500</v>
      </c>
      <c r="D53" s="47" t="s">
        <v>936</v>
      </c>
      <c r="E53" s="47">
        <v>2021</v>
      </c>
      <c r="F53" s="47" t="s">
        <v>878</v>
      </c>
      <c r="G53" s="47">
        <v>19</v>
      </c>
      <c r="H53" s="47">
        <v>1</v>
      </c>
      <c r="I53" s="47">
        <v>6</v>
      </c>
      <c r="J53" s="47"/>
      <c r="K53" s="47"/>
      <c r="L53" s="47"/>
      <c r="M53" s="47">
        <v>0</v>
      </c>
      <c r="N53" s="47" t="s">
        <v>937</v>
      </c>
      <c r="O53" s="47" t="s">
        <v>938</v>
      </c>
      <c r="P53" s="47" t="s">
        <v>629</v>
      </c>
      <c r="Q53" s="48" t="s">
        <v>630</v>
      </c>
      <c r="R53" s="21" t="s">
        <v>719</v>
      </c>
    </row>
    <row r="54" spans="1:18">
      <c r="A54" s="47" t="s">
        <v>939</v>
      </c>
      <c r="B54" s="47" t="s">
        <v>940</v>
      </c>
      <c r="C54" s="47">
        <v>57223193391</v>
      </c>
      <c r="D54" s="47" t="s">
        <v>941</v>
      </c>
      <c r="E54" s="47">
        <v>2021</v>
      </c>
      <c r="F54" s="47" t="s">
        <v>942</v>
      </c>
      <c r="G54" s="47">
        <v>11</v>
      </c>
      <c r="H54" s="47">
        <v>5</v>
      </c>
      <c r="I54" s="47"/>
      <c r="J54" s="47">
        <v>2078</v>
      </c>
      <c r="K54" s="47">
        <v>2087</v>
      </c>
      <c r="L54" s="47">
        <v>9</v>
      </c>
      <c r="M54" s="47">
        <v>0</v>
      </c>
      <c r="N54" s="47" t="s">
        <v>943</v>
      </c>
      <c r="O54" s="47" t="s">
        <v>944</v>
      </c>
      <c r="P54" s="47" t="s">
        <v>629</v>
      </c>
      <c r="Q54" s="48" t="s">
        <v>630</v>
      </c>
    </row>
    <row r="55" spans="1:18">
      <c r="A55" s="47" t="s">
        <v>945</v>
      </c>
      <c r="B55" s="47" t="s">
        <v>946</v>
      </c>
      <c r="C55" s="47" t="s">
        <v>947</v>
      </c>
      <c r="D55" s="47" t="s">
        <v>948</v>
      </c>
      <c r="E55" s="47">
        <v>2021</v>
      </c>
      <c r="F55" s="47" t="s">
        <v>949</v>
      </c>
      <c r="G55" s="47">
        <v>100</v>
      </c>
      <c r="H55" s="47"/>
      <c r="I55" s="47">
        <v>105361</v>
      </c>
      <c r="J55" s="47"/>
      <c r="K55" s="47"/>
      <c r="L55" s="47"/>
      <c r="M55" s="47">
        <v>17</v>
      </c>
      <c r="N55" s="47" t="s">
        <v>950</v>
      </c>
      <c r="O55" s="47" t="s">
        <v>951</v>
      </c>
      <c r="P55" s="47" t="s">
        <v>629</v>
      </c>
      <c r="Q55" s="48" t="s">
        <v>630</v>
      </c>
    </row>
    <row r="56" spans="1:18">
      <c r="A56" s="47" t="s">
        <v>952</v>
      </c>
      <c r="B56" s="47" t="s">
        <v>953</v>
      </c>
      <c r="C56" s="47" t="s">
        <v>954</v>
      </c>
      <c r="D56" s="47" t="s">
        <v>955</v>
      </c>
      <c r="E56" s="47">
        <v>2021</v>
      </c>
      <c r="F56" s="47" t="s">
        <v>956</v>
      </c>
      <c r="G56" s="47">
        <v>38</v>
      </c>
      <c r="H56" s="47">
        <v>2</v>
      </c>
      <c r="I56" s="47"/>
      <c r="J56" s="47">
        <v>244</v>
      </c>
      <c r="K56" s="47">
        <v>262</v>
      </c>
      <c r="L56" s="47">
        <v>18</v>
      </c>
      <c r="M56" s="47">
        <v>1</v>
      </c>
      <c r="N56" s="47" t="s">
        <v>957</v>
      </c>
      <c r="O56" s="47" t="s">
        <v>958</v>
      </c>
      <c r="P56" s="47" t="s">
        <v>629</v>
      </c>
      <c r="Q56" s="48" t="s">
        <v>630</v>
      </c>
    </row>
    <row r="57" spans="1:18">
      <c r="A57" s="47" t="s">
        <v>959</v>
      </c>
      <c r="B57" s="47" t="s">
        <v>960</v>
      </c>
      <c r="C57" s="47">
        <v>57208339729</v>
      </c>
      <c r="D57" s="47" t="s">
        <v>961</v>
      </c>
      <c r="E57" s="47">
        <v>2021</v>
      </c>
      <c r="F57" s="47" t="s">
        <v>962</v>
      </c>
      <c r="G57" s="47">
        <v>7</v>
      </c>
      <c r="H57" s="47">
        <v>1</v>
      </c>
      <c r="I57" s="47">
        <v>1858563</v>
      </c>
      <c r="J57" s="47"/>
      <c r="K57" s="47"/>
      <c r="L57" s="47"/>
      <c r="M57" s="47">
        <v>13</v>
      </c>
      <c r="N57" s="47" t="s">
        <v>963</v>
      </c>
      <c r="O57" s="47" t="s">
        <v>964</v>
      </c>
      <c r="P57" s="47" t="s">
        <v>629</v>
      </c>
      <c r="Q57" s="48" t="s">
        <v>630</v>
      </c>
      <c r="R57" s="21" t="s">
        <v>719</v>
      </c>
    </row>
    <row r="58" spans="1:18">
      <c r="A58" s="47" t="s">
        <v>862</v>
      </c>
      <c r="B58" s="47" t="s">
        <v>863</v>
      </c>
      <c r="C58" s="47">
        <v>55918320500</v>
      </c>
      <c r="D58" s="47" t="s">
        <v>965</v>
      </c>
      <c r="E58" s="47">
        <v>2022</v>
      </c>
      <c r="F58" s="47" t="s">
        <v>676</v>
      </c>
      <c r="G58" s="47">
        <v>35</v>
      </c>
      <c r="H58" s="47">
        <v>1</v>
      </c>
      <c r="I58" s="47"/>
      <c r="J58" s="47">
        <v>1</v>
      </c>
      <c r="K58" s="47">
        <v>31</v>
      </c>
      <c r="L58" s="47">
        <v>30</v>
      </c>
      <c r="M58" s="47">
        <v>13</v>
      </c>
      <c r="N58" s="47" t="s">
        <v>966</v>
      </c>
      <c r="O58" s="47" t="s">
        <v>967</v>
      </c>
      <c r="P58" s="47" t="s">
        <v>629</v>
      </c>
      <c r="Q58" s="48" t="s">
        <v>630</v>
      </c>
    </row>
    <row r="59" spans="1:18">
      <c r="A59" s="47" t="s">
        <v>968</v>
      </c>
      <c r="B59" s="47" t="s">
        <v>969</v>
      </c>
      <c r="C59" s="47" t="s">
        <v>970</v>
      </c>
      <c r="D59" s="47" t="s">
        <v>971</v>
      </c>
      <c r="E59" s="47">
        <v>2022</v>
      </c>
      <c r="F59" s="47" t="s">
        <v>972</v>
      </c>
      <c r="G59" s="47">
        <v>10</v>
      </c>
      <c r="H59" s="47">
        <v>2</v>
      </c>
      <c r="I59" s="47"/>
      <c r="J59" s="47">
        <v>181</v>
      </c>
      <c r="K59" s="47">
        <v>206</v>
      </c>
      <c r="L59" s="47">
        <v>25</v>
      </c>
      <c r="M59" s="47">
        <v>1</v>
      </c>
      <c r="N59" s="47" t="s">
        <v>973</v>
      </c>
      <c r="O59" s="47" t="s">
        <v>974</v>
      </c>
      <c r="P59" s="47" t="s">
        <v>629</v>
      </c>
      <c r="Q59" s="48" t="s">
        <v>630</v>
      </c>
      <c r="R59" s="21" t="s">
        <v>719</v>
      </c>
    </row>
    <row r="60" spans="1:18">
      <c r="A60" s="47" t="s">
        <v>975</v>
      </c>
      <c r="B60" s="47" t="s">
        <v>976</v>
      </c>
      <c r="C60" s="47">
        <v>57194528936</v>
      </c>
      <c r="D60" s="47" t="s">
        <v>977</v>
      </c>
      <c r="E60" s="47">
        <v>2022</v>
      </c>
      <c r="F60" s="47" t="s">
        <v>978</v>
      </c>
      <c r="G60" s="47">
        <v>9</v>
      </c>
      <c r="H60" s="47">
        <v>2</v>
      </c>
      <c r="I60" s="47"/>
      <c r="J60" s="47">
        <v>7</v>
      </c>
      <c r="K60" s="47">
        <v>30</v>
      </c>
      <c r="L60" s="47">
        <v>23</v>
      </c>
      <c r="M60" s="47">
        <v>2</v>
      </c>
      <c r="N60" s="47" t="s">
        <v>979</v>
      </c>
      <c r="O60" s="47" t="s">
        <v>980</v>
      </c>
      <c r="P60" s="47" t="s">
        <v>629</v>
      </c>
      <c r="Q60" s="48" t="s">
        <v>630</v>
      </c>
    </row>
    <row r="61" spans="1:18">
      <c r="A61" s="47" t="s">
        <v>981</v>
      </c>
      <c r="B61" s="47" t="s">
        <v>982</v>
      </c>
      <c r="C61" s="47">
        <v>57981574500</v>
      </c>
      <c r="D61" s="47" t="s">
        <v>983</v>
      </c>
      <c r="E61" s="47">
        <v>2022</v>
      </c>
      <c r="F61" s="47" t="s">
        <v>984</v>
      </c>
      <c r="G61" s="47">
        <v>8</v>
      </c>
      <c r="H61" s="47">
        <v>3</v>
      </c>
      <c r="I61" s="47"/>
      <c r="J61" s="47">
        <v>399</v>
      </c>
      <c r="K61" s="47">
        <v>417</v>
      </c>
      <c r="L61" s="47">
        <v>18</v>
      </c>
      <c r="M61" s="47">
        <v>1</v>
      </c>
      <c r="N61" s="47" t="s">
        <v>985</v>
      </c>
      <c r="O61" s="47" t="s">
        <v>986</v>
      </c>
      <c r="P61" s="47" t="s">
        <v>629</v>
      </c>
      <c r="Q61" s="48" t="s">
        <v>630</v>
      </c>
      <c r="R61" s="21" t="s">
        <v>719</v>
      </c>
    </row>
    <row r="62" spans="1:18">
      <c r="A62" s="47" t="s">
        <v>987</v>
      </c>
      <c r="B62" s="47" t="s">
        <v>988</v>
      </c>
      <c r="C62" s="47" t="s">
        <v>989</v>
      </c>
      <c r="D62" s="47" t="s">
        <v>990</v>
      </c>
      <c r="E62" s="47">
        <v>2022</v>
      </c>
      <c r="F62" s="47" t="s">
        <v>991</v>
      </c>
      <c r="G62" s="47">
        <v>14</v>
      </c>
      <c r="H62" s="47">
        <v>3</v>
      </c>
      <c r="I62" s="47"/>
      <c r="J62" s="47">
        <v>123</v>
      </c>
      <c r="K62" s="47">
        <v>140</v>
      </c>
      <c r="L62" s="47">
        <v>17</v>
      </c>
      <c r="M62" s="47">
        <v>0</v>
      </c>
      <c r="N62" s="47"/>
      <c r="O62" s="47" t="s">
        <v>992</v>
      </c>
      <c r="P62" s="47" t="s">
        <v>629</v>
      </c>
      <c r="Q62" s="48" t="s">
        <v>630</v>
      </c>
    </row>
    <row r="63" spans="1:18">
      <c r="A63" s="47" t="s">
        <v>993</v>
      </c>
      <c r="B63" s="47" t="s">
        <v>994</v>
      </c>
      <c r="C63" s="47" t="s">
        <v>995</v>
      </c>
      <c r="D63" s="47" t="s">
        <v>996</v>
      </c>
      <c r="E63" s="47">
        <v>2022</v>
      </c>
      <c r="F63" s="47" t="s">
        <v>908</v>
      </c>
      <c r="G63" s="47">
        <v>76</v>
      </c>
      <c r="H63" s="47">
        <v>6</v>
      </c>
      <c r="I63" s="47"/>
      <c r="J63" s="47">
        <v>672</v>
      </c>
      <c r="K63" s="47">
        <v>693</v>
      </c>
      <c r="L63" s="47">
        <v>21</v>
      </c>
      <c r="M63" s="47">
        <v>6</v>
      </c>
      <c r="N63" s="47" t="s">
        <v>997</v>
      </c>
      <c r="O63" s="47" t="s">
        <v>998</v>
      </c>
      <c r="P63" s="47" t="s">
        <v>629</v>
      </c>
      <c r="Q63" s="48" t="s">
        <v>630</v>
      </c>
    </row>
    <row r="64" spans="1:18">
      <c r="A64" s="47" t="s">
        <v>999</v>
      </c>
      <c r="B64" s="47" t="s">
        <v>1000</v>
      </c>
      <c r="C64" s="47">
        <v>55303741000</v>
      </c>
      <c r="D64" s="47" t="s">
        <v>1001</v>
      </c>
      <c r="E64" s="47">
        <v>2022</v>
      </c>
      <c r="F64" s="47" t="s">
        <v>1002</v>
      </c>
      <c r="G64" s="47">
        <v>10</v>
      </c>
      <c r="H64" s="47">
        <v>2</v>
      </c>
      <c r="I64" s="47"/>
      <c r="J64" s="47">
        <v>355</v>
      </c>
      <c r="K64" s="47">
        <v>386</v>
      </c>
      <c r="L64" s="47">
        <v>31</v>
      </c>
      <c r="M64" s="47">
        <v>5</v>
      </c>
      <c r="N64" s="47" t="s">
        <v>1003</v>
      </c>
      <c r="O64" s="47" t="s">
        <v>1004</v>
      </c>
      <c r="P64" s="47" t="s">
        <v>629</v>
      </c>
      <c r="Q64" s="48" t="s">
        <v>630</v>
      </c>
      <c r="R64" s="21" t="s">
        <v>638</v>
      </c>
    </row>
    <row r="65" spans="1:18">
      <c r="A65" s="47" t="s">
        <v>1005</v>
      </c>
      <c r="B65" s="47" t="s">
        <v>1006</v>
      </c>
      <c r="C65" s="47" t="s">
        <v>1007</v>
      </c>
      <c r="D65" s="47" t="s">
        <v>1008</v>
      </c>
      <c r="E65" s="47">
        <v>2022</v>
      </c>
      <c r="F65" s="47" t="s">
        <v>676</v>
      </c>
      <c r="G65" s="47">
        <v>35</v>
      </c>
      <c r="H65" s="47">
        <v>6</v>
      </c>
      <c r="I65" s="47"/>
      <c r="J65" s="47">
        <v>1079</v>
      </c>
      <c r="K65" s="47">
        <v>1104</v>
      </c>
      <c r="L65" s="47">
        <v>25</v>
      </c>
      <c r="M65" s="47">
        <v>7</v>
      </c>
      <c r="N65" s="47" t="s">
        <v>1009</v>
      </c>
      <c r="O65" s="47" t="s">
        <v>1010</v>
      </c>
      <c r="P65" s="47" t="s">
        <v>629</v>
      </c>
      <c r="Q65" s="48" t="s">
        <v>630</v>
      </c>
      <c r="R65" s="21" t="s">
        <v>638</v>
      </c>
    </row>
    <row r="66" spans="1:18">
      <c r="A66" s="47" t="s">
        <v>1011</v>
      </c>
      <c r="B66" s="47" t="s">
        <v>1012</v>
      </c>
      <c r="C66" s="47">
        <v>56868271800</v>
      </c>
      <c r="D66" s="47" t="s">
        <v>1013</v>
      </c>
      <c r="E66" s="47">
        <v>2022</v>
      </c>
      <c r="F66" s="47" t="s">
        <v>676</v>
      </c>
      <c r="G66" s="47">
        <v>35</v>
      </c>
      <c r="H66" s="47">
        <v>6</v>
      </c>
      <c r="I66" s="47"/>
      <c r="J66" s="47">
        <v>1135</v>
      </c>
      <c r="K66" s="47">
        <v>1161</v>
      </c>
      <c r="L66" s="47">
        <v>26</v>
      </c>
      <c r="M66" s="47">
        <v>6</v>
      </c>
      <c r="N66" s="47" t="s">
        <v>1014</v>
      </c>
      <c r="O66" s="47" t="s">
        <v>1015</v>
      </c>
      <c r="P66" s="47" t="s">
        <v>629</v>
      </c>
      <c r="Q66" s="48" t="s">
        <v>630</v>
      </c>
      <c r="R66" s="21" t="s">
        <v>638</v>
      </c>
    </row>
    <row r="67" spans="1:18">
      <c r="A67" s="47" t="s">
        <v>1016</v>
      </c>
      <c r="B67" s="47" t="s">
        <v>1017</v>
      </c>
      <c r="C67" s="47" t="s">
        <v>1018</v>
      </c>
      <c r="D67" s="47" t="s">
        <v>1019</v>
      </c>
      <c r="E67" s="47">
        <v>2022</v>
      </c>
      <c r="F67" s="47" t="s">
        <v>1020</v>
      </c>
      <c r="G67" s="47">
        <v>28</v>
      </c>
      <c r="H67" s="47">
        <v>89</v>
      </c>
      <c r="I67" s="47"/>
      <c r="J67" s="47">
        <v>225</v>
      </c>
      <c r="K67" s="47">
        <v>245</v>
      </c>
      <c r="L67" s="47">
        <v>20</v>
      </c>
      <c r="M67" s="47">
        <v>1</v>
      </c>
      <c r="N67" s="47" t="s">
        <v>1021</v>
      </c>
      <c r="O67" s="47" t="s">
        <v>1022</v>
      </c>
      <c r="P67" s="47" t="s">
        <v>629</v>
      </c>
      <c r="Q67" s="48" t="s">
        <v>630</v>
      </c>
    </row>
    <row r="68" spans="1:18">
      <c r="A68" s="47" t="s">
        <v>1023</v>
      </c>
      <c r="B68" s="47" t="s">
        <v>1024</v>
      </c>
      <c r="C68" s="47">
        <v>57196746130</v>
      </c>
      <c r="D68" s="47" t="s">
        <v>1025</v>
      </c>
      <c r="E68" s="47">
        <v>2022</v>
      </c>
      <c r="F68" s="47" t="s">
        <v>771</v>
      </c>
      <c r="G68" s="47">
        <v>34</v>
      </c>
      <c r="H68" s="47">
        <v>4</v>
      </c>
      <c r="I68" s="47"/>
      <c r="J68" s="47">
        <v>671</v>
      </c>
      <c r="K68" s="47">
        <v>686</v>
      </c>
      <c r="L68" s="47">
        <v>15</v>
      </c>
      <c r="M68" s="47">
        <v>0</v>
      </c>
      <c r="N68" s="47" t="s">
        <v>1026</v>
      </c>
      <c r="O68" s="47" t="s">
        <v>1027</v>
      </c>
      <c r="P68" s="47" t="s">
        <v>629</v>
      </c>
      <c r="Q68" s="48" t="s">
        <v>630</v>
      </c>
    </row>
    <row r="69" spans="1:18">
      <c r="A69" s="47" t="s">
        <v>999</v>
      </c>
      <c r="B69" s="47" t="s">
        <v>1000</v>
      </c>
      <c r="C69" s="47">
        <v>55303741000</v>
      </c>
      <c r="D69" s="47" t="s">
        <v>1028</v>
      </c>
      <c r="E69" s="47">
        <v>2023</v>
      </c>
      <c r="F69" s="47" t="s">
        <v>676</v>
      </c>
      <c r="G69" s="47">
        <v>36</v>
      </c>
      <c r="H69" s="47">
        <v>6</v>
      </c>
      <c r="I69" s="47"/>
      <c r="J69" s="47">
        <v>1181</v>
      </c>
      <c r="K69" s="47">
        <v>1214</v>
      </c>
      <c r="L69" s="47">
        <v>33</v>
      </c>
      <c r="M69" s="47">
        <v>10</v>
      </c>
      <c r="N69" s="47" t="s">
        <v>1029</v>
      </c>
      <c r="O69" s="47" t="s">
        <v>1030</v>
      </c>
      <c r="P69" s="47" t="s">
        <v>629</v>
      </c>
      <c r="Q69" s="48" t="s">
        <v>630</v>
      </c>
    </row>
    <row r="70" spans="1:18">
      <c r="A70" s="47" t="s">
        <v>1031</v>
      </c>
      <c r="B70" s="47" t="s">
        <v>1032</v>
      </c>
      <c r="C70" s="47">
        <v>35320798300</v>
      </c>
      <c r="D70" s="47" t="s">
        <v>1033</v>
      </c>
      <c r="E70" s="47">
        <v>2023</v>
      </c>
      <c r="F70" s="47" t="s">
        <v>704</v>
      </c>
      <c r="G70" s="47">
        <v>60</v>
      </c>
      <c r="H70" s="47">
        <v>6</v>
      </c>
      <c r="I70" s="47"/>
      <c r="J70" s="47">
        <v>1294</v>
      </c>
      <c r="K70" s="47">
        <v>1314</v>
      </c>
      <c r="L70" s="47">
        <v>20</v>
      </c>
      <c r="M70" s="47">
        <v>1</v>
      </c>
      <c r="N70" s="47" t="s">
        <v>1034</v>
      </c>
      <c r="O70" s="47" t="s">
        <v>1035</v>
      </c>
      <c r="P70" s="47" t="s">
        <v>629</v>
      </c>
      <c r="Q70" s="48" t="s">
        <v>630</v>
      </c>
    </row>
    <row r="71" spans="1:18">
      <c r="A71" s="47" t="s">
        <v>1036</v>
      </c>
      <c r="B71" s="47" t="s">
        <v>1037</v>
      </c>
      <c r="C71" s="47">
        <v>57191380800</v>
      </c>
      <c r="D71" s="47" t="s">
        <v>1038</v>
      </c>
      <c r="E71" s="47">
        <v>2023</v>
      </c>
      <c r="F71" s="47" t="s">
        <v>1039</v>
      </c>
      <c r="G71" s="47">
        <v>8</v>
      </c>
      <c r="H71" s="47">
        <v>1</v>
      </c>
      <c r="I71" s="47"/>
      <c r="J71" s="47">
        <v>63</v>
      </c>
      <c r="K71" s="47">
        <v>83</v>
      </c>
      <c r="L71" s="47">
        <v>20</v>
      </c>
      <c r="M71" s="47">
        <v>8</v>
      </c>
      <c r="N71" s="47" t="s">
        <v>1040</v>
      </c>
      <c r="O71" s="47" t="s">
        <v>1041</v>
      </c>
      <c r="P71" s="47" t="s">
        <v>629</v>
      </c>
      <c r="Q71" s="48" t="s">
        <v>630</v>
      </c>
    </row>
    <row r="72" spans="1:18">
      <c r="A72" s="47" t="s">
        <v>1042</v>
      </c>
      <c r="B72" s="47" t="s">
        <v>1043</v>
      </c>
      <c r="C72" s="47">
        <v>57226656646</v>
      </c>
      <c r="D72" s="47" t="s">
        <v>1044</v>
      </c>
      <c r="E72" s="47">
        <v>2023</v>
      </c>
      <c r="F72" s="47" t="s">
        <v>1045</v>
      </c>
      <c r="G72" s="47">
        <v>18</v>
      </c>
      <c r="H72" s="47">
        <v>2</v>
      </c>
      <c r="I72" s="47"/>
      <c r="J72" s="47">
        <v>127</v>
      </c>
      <c r="K72" s="47">
        <v>164</v>
      </c>
      <c r="L72" s="47">
        <v>37</v>
      </c>
      <c r="M72" s="47">
        <v>3</v>
      </c>
      <c r="N72" s="47"/>
      <c r="O72" s="47" t="s">
        <v>1046</v>
      </c>
      <c r="P72" s="47" t="s">
        <v>629</v>
      </c>
      <c r="Q72" s="48" t="s">
        <v>630</v>
      </c>
    </row>
    <row r="73" spans="1:18">
      <c r="A73" s="47" t="s">
        <v>1047</v>
      </c>
      <c r="B73" s="47" t="s">
        <v>1048</v>
      </c>
      <c r="C73" s="47">
        <v>58771956700</v>
      </c>
      <c r="D73" s="47" t="s">
        <v>1049</v>
      </c>
      <c r="E73" s="47">
        <v>2023</v>
      </c>
      <c r="F73" s="47" t="s">
        <v>878</v>
      </c>
      <c r="G73" s="47">
        <v>21</v>
      </c>
      <c r="H73" s="47">
        <v>1</v>
      </c>
      <c r="I73" s="47"/>
      <c r="J73" s="47">
        <v>145</v>
      </c>
      <c r="K73" s="47">
        <v>206</v>
      </c>
      <c r="L73" s="47">
        <v>61</v>
      </c>
      <c r="M73" s="47">
        <v>0</v>
      </c>
      <c r="N73" s="47" t="s">
        <v>1050</v>
      </c>
      <c r="O73" s="47" t="s">
        <v>1051</v>
      </c>
      <c r="P73" s="47" t="s">
        <v>629</v>
      </c>
      <c r="Q73" s="48" t="s">
        <v>630</v>
      </c>
    </row>
    <row r="74" spans="1:18">
      <c r="A74" s="47" t="s">
        <v>1052</v>
      </c>
      <c r="B74" s="47" t="s">
        <v>1053</v>
      </c>
      <c r="C74" s="47" t="s">
        <v>1054</v>
      </c>
      <c r="D74" s="47" t="s">
        <v>1055</v>
      </c>
      <c r="E74" s="47">
        <v>2023</v>
      </c>
      <c r="F74" s="47" t="s">
        <v>1056</v>
      </c>
      <c r="G74" s="47">
        <v>58</v>
      </c>
      <c r="H74" s="47">
        <v>3</v>
      </c>
      <c r="I74" s="47"/>
      <c r="J74" s="47">
        <v>131</v>
      </c>
      <c r="K74" s="47">
        <v>151</v>
      </c>
      <c r="L74" s="47">
        <v>20</v>
      </c>
      <c r="M74" s="47">
        <v>1</v>
      </c>
      <c r="N74" s="47" t="s">
        <v>1057</v>
      </c>
      <c r="O74" s="47" t="s">
        <v>1058</v>
      </c>
      <c r="P74" s="47" t="s">
        <v>629</v>
      </c>
      <c r="Q74" s="48" t="s">
        <v>630</v>
      </c>
    </row>
    <row r="75" spans="1:18">
      <c r="A75" s="47" t="s">
        <v>1059</v>
      </c>
      <c r="B75" s="47" t="s">
        <v>1060</v>
      </c>
      <c r="C75" s="47" t="s">
        <v>1061</v>
      </c>
      <c r="D75" s="47" t="s">
        <v>1062</v>
      </c>
      <c r="E75" s="47">
        <v>2023</v>
      </c>
      <c r="F75" s="47" t="s">
        <v>1045</v>
      </c>
      <c r="G75" s="47">
        <v>18</v>
      </c>
      <c r="H75" s="47">
        <v>2</v>
      </c>
      <c r="I75" s="47"/>
      <c r="J75" s="47">
        <v>101</v>
      </c>
      <c r="K75" s="47">
        <v>126</v>
      </c>
      <c r="L75" s="47">
        <v>25</v>
      </c>
      <c r="M75" s="47">
        <v>0</v>
      </c>
      <c r="N75" s="47"/>
      <c r="O75" s="47" t="s">
        <v>1063</v>
      </c>
      <c r="P75" s="47" t="s">
        <v>629</v>
      </c>
      <c r="Q75" s="48" t="s">
        <v>630</v>
      </c>
    </row>
    <row r="76" spans="1:18">
      <c r="A76" s="47" t="s">
        <v>1064</v>
      </c>
      <c r="B76" s="47" t="s">
        <v>1065</v>
      </c>
      <c r="C76" s="47">
        <v>56299399100</v>
      </c>
      <c r="D76" s="47" t="s">
        <v>1066</v>
      </c>
      <c r="E76" s="47">
        <v>2023</v>
      </c>
      <c r="F76" s="47" t="s">
        <v>676</v>
      </c>
      <c r="G76" s="47">
        <v>36</v>
      </c>
      <c r="H76" s="47">
        <v>3</v>
      </c>
      <c r="I76" s="47"/>
      <c r="J76" s="47">
        <v>631</v>
      </c>
      <c r="K76" s="47">
        <v>661</v>
      </c>
      <c r="L76" s="47">
        <v>30</v>
      </c>
      <c r="M76" s="47">
        <v>5</v>
      </c>
      <c r="N76" s="47" t="s">
        <v>1067</v>
      </c>
      <c r="O76" s="47" t="s">
        <v>1068</v>
      </c>
      <c r="P76" s="47" t="s">
        <v>629</v>
      </c>
      <c r="Q76" s="48" t="s">
        <v>630</v>
      </c>
      <c r="R76" s="21" t="s">
        <v>1069</v>
      </c>
    </row>
    <row r="77" spans="1:18">
      <c r="A77" s="47" t="s">
        <v>1070</v>
      </c>
      <c r="B77" s="47" t="s">
        <v>1071</v>
      </c>
      <c r="C77" s="47">
        <v>57223312995</v>
      </c>
      <c r="D77" s="47" t="s">
        <v>1072</v>
      </c>
      <c r="E77" s="47">
        <v>2023</v>
      </c>
      <c r="F77" s="47" t="s">
        <v>1039</v>
      </c>
      <c r="G77" s="47">
        <v>8</v>
      </c>
      <c r="H77" s="47">
        <v>4</v>
      </c>
      <c r="I77" s="47"/>
      <c r="J77" s="47">
        <v>597</v>
      </c>
      <c r="K77" s="47">
        <v>617</v>
      </c>
      <c r="L77" s="47">
        <v>20</v>
      </c>
      <c r="M77" s="47">
        <v>2</v>
      </c>
      <c r="N77" s="47" t="s">
        <v>1073</v>
      </c>
      <c r="O77" s="47" t="s">
        <v>1074</v>
      </c>
      <c r="P77" s="47" t="s">
        <v>629</v>
      </c>
      <c r="Q77" s="48" t="s">
        <v>630</v>
      </c>
    </row>
    <row r="78" spans="1:18">
      <c r="A78" s="47" t="s">
        <v>1075</v>
      </c>
      <c r="B78" s="47" t="s">
        <v>1076</v>
      </c>
      <c r="C78" s="47" t="s">
        <v>1077</v>
      </c>
      <c r="D78" s="47" t="s">
        <v>1078</v>
      </c>
      <c r="E78" s="47">
        <v>2023</v>
      </c>
      <c r="F78" s="47" t="s">
        <v>1079</v>
      </c>
      <c r="G78" s="47">
        <v>47</v>
      </c>
      <c r="H78" s="47">
        <v>1</v>
      </c>
      <c r="I78" s="47"/>
      <c r="J78" s="47">
        <v>205</v>
      </c>
      <c r="K78" s="47">
        <v>241</v>
      </c>
      <c r="L78" s="47">
        <v>36</v>
      </c>
      <c r="M78" s="47">
        <v>1</v>
      </c>
      <c r="N78" s="47" t="s">
        <v>1080</v>
      </c>
      <c r="O78" s="47" t="s">
        <v>1081</v>
      </c>
      <c r="P78" s="47" t="s">
        <v>629</v>
      </c>
      <c r="Q78" s="48" t="s">
        <v>630</v>
      </c>
    </row>
    <row r="79" spans="1:18">
      <c r="A79" s="47" t="s">
        <v>1082</v>
      </c>
      <c r="B79" s="47" t="s">
        <v>1083</v>
      </c>
      <c r="C79" s="47">
        <v>56525342400</v>
      </c>
      <c r="D79" s="47" t="s">
        <v>1084</v>
      </c>
      <c r="E79" s="47">
        <v>2023</v>
      </c>
      <c r="F79" s="47" t="s">
        <v>676</v>
      </c>
      <c r="G79" s="47">
        <v>36</v>
      </c>
      <c r="H79" s="47">
        <v>5</v>
      </c>
      <c r="I79" s="47"/>
      <c r="J79" s="47">
        <v>1120</v>
      </c>
      <c r="K79" s="47">
        <v>1147</v>
      </c>
      <c r="L79" s="47">
        <v>27</v>
      </c>
      <c r="M79" s="47">
        <v>1</v>
      </c>
      <c r="N79" s="47" t="s">
        <v>1085</v>
      </c>
      <c r="O79" s="47" t="s">
        <v>1086</v>
      </c>
      <c r="P79" s="47" t="s">
        <v>629</v>
      </c>
      <c r="Q79" s="48" t="s">
        <v>630</v>
      </c>
    </row>
    <row r="80" spans="1:18">
      <c r="A80" s="47" t="s">
        <v>1087</v>
      </c>
      <c r="B80" s="47" t="s">
        <v>1088</v>
      </c>
      <c r="C80" s="47">
        <v>57864610300</v>
      </c>
      <c r="D80" s="47" t="s">
        <v>1089</v>
      </c>
      <c r="E80" s="47">
        <v>2023</v>
      </c>
      <c r="F80" s="47" t="s">
        <v>693</v>
      </c>
      <c r="G80" s="47">
        <v>10</v>
      </c>
      <c r="H80" s="47">
        <v>2</v>
      </c>
      <c r="I80" s="47"/>
      <c r="J80" s="47">
        <v>169</v>
      </c>
      <c r="K80" s="47">
        <v>189</v>
      </c>
      <c r="L80" s="47">
        <v>20</v>
      </c>
      <c r="M80" s="47">
        <v>0</v>
      </c>
      <c r="N80" s="47" t="s">
        <v>1090</v>
      </c>
      <c r="O80" s="47" t="s">
        <v>1091</v>
      </c>
      <c r="P80" s="47" t="s">
        <v>629</v>
      </c>
      <c r="Q80" s="48" t="s">
        <v>630</v>
      </c>
    </row>
    <row r="81" spans="1:18">
      <c r="A81" s="47" t="s">
        <v>1092</v>
      </c>
      <c r="B81" s="47" t="s">
        <v>1093</v>
      </c>
      <c r="C81" s="47">
        <v>55868882700</v>
      </c>
      <c r="D81" s="47" t="s">
        <v>1094</v>
      </c>
      <c r="E81" s="47">
        <v>2023</v>
      </c>
      <c r="F81" s="47" t="s">
        <v>1095</v>
      </c>
      <c r="G81" s="47">
        <v>56</v>
      </c>
      <c r="H81" s="47">
        <v>4</v>
      </c>
      <c r="I81" s="47"/>
      <c r="J81" s="47">
        <v>292</v>
      </c>
      <c r="K81" s="47">
        <v>303</v>
      </c>
      <c r="L81" s="47">
        <v>11</v>
      </c>
      <c r="M81" s="47">
        <v>2</v>
      </c>
      <c r="N81" s="47" t="s">
        <v>1096</v>
      </c>
      <c r="O81" s="47" t="s">
        <v>1097</v>
      </c>
      <c r="P81" s="47" t="s">
        <v>629</v>
      </c>
      <c r="Q81" s="48" t="s">
        <v>630</v>
      </c>
    </row>
    <row r="82" spans="1:18">
      <c r="A82" s="47" t="s">
        <v>1098</v>
      </c>
      <c r="B82" s="47" t="s">
        <v>1099</v>
      </c>
      <c r="C82" s="47">
        <v>57209838633</v>
      </c>
      <c r="D82" s="47" t="s">
        <v>1100</v>
      </c>
      <c r="E82" s="47">
        <v>2023</v>
      </c>
      <c r="F82" s="47" t="s">
        <v>1101</v>
      </c>
      <c r="G82" s="47">
        <v>27</v>
      </c>
      <c r="H82" s="47">
        <v>1</v>
      </c>
      <c r="I82" s="47"/>
      <c r="J82" s="47">
        <v>1</v>
      </c>
      <c r="K82" s="47">
        <v>42</v>
      </c>
      <c r="L82" s="47">
        <v>41</v>
      </c>
      <c r="M82" s="47">
        <v>0</v>
      </c>
      <c r="N82" s="47" t="s">
        <v>1102</v>
      </c>
      <c r="O82" s="47" t="s">
        <v>1103</v>
      </c>
      <c r="P82" s="47" t="s">
        <v>629</v>
      </c>
      <c r="Q82" s="48" t="s">
        <v>630</v>
      </c>
    </row>
    <row r="83" spans="1:18">
      <c r="A83" s="47" t="s">
        <v>1104</v>
      </c>
      <c r="B83" s="47" t="s">
        <v>1105</v>
      </c>
      <c r="C83" s="47">
        <v>57210261063</v>
      </c>
      <c r="D83" s="47" t="s">
        <v>1106</v>
      </c>
      <c r="E83" s="47">
        <v>2023</v>
      </c>
      <c r="F83" s="47" t="s">
        <v>1107</v>
      </c>
      <c r="G83" s="47">
        <v>46</v>
      </c>
      <c r="H83" s="49">
        <v>45479</v>
      </c>
      <c r="I83" s="47"/>
      <c r="J83" s="47">
        <v>1185</v>
      </c>
      <c r="K83" s="47">
        <v>1214</v>
      </c>
      <c r="L83" s="47">
        <v>29</v>
      </c>
      <c r="M83" s="47">
        <v>10</v>
      </c>
      <c r="N83" s="47" t="s">
        <v>1108</v>
      </c>
      <c r="O83" s="47" t="s">
        <v>1109</v>
      </c>
      <c r="P83" s="47" t="s">
        <v>629</v>
      </c>
      <c r="Q83" s="48" t="s">
        <v>630</v>
      </c>
    </row>
    <row r="84" spans="1:18">
      <c r="A84" s="47" t="s">
        <v>1110</v>
      </c>
      <c r="B84" s="47" t="s">
        <v>1111</v>
      </c>
      <c r="C84" s="47" t="s">
        <v>1112</v>
      </c>
      <c r="D84" s="47" t="s">
        <v>1113</v>
      </c>
      <c r="E84" s="47">
        <v>2023</v>
      </c>
      <c r="F84" s="47" t="s">
        <v>1114</v>
      </c>
      <c r="G84" s="47">
        <v>15</v>
      </c>
      <c r="H84" s="47">
        <v>9</v>
      </c>
      <c r="I84" s="47">
        <v>7255</v>
      </c>
      <c r="J84" s="47"/>
      <c r="K84" s="47"/>
      <c r="L84" s="47"/>
      <c r="M84" s="47">
        <v>1</v>
      </c>
      <c r="N84" s="47" t="s">
        <v>1115</v>
      </c>
      <c r="O84" s="47" t="s">
        <v>1116</v>
      </c>
      <c r="P84" s="47" t="s">
        <v>629</v>
      </c>
      <c r="Q84" s="48" t="s">
        <v>630</v>
      </c>
      <c r="R84" s="21" t="s">
        <v>719</v>
      </c>
    </row>
    <row r="85" spans="1:18">
      <c r="A85" s="47" t="s">
        <v>959</v>
      </c>
      <c r="B85" s="47" t="s">
        <v>960</v>
      </c>
      <c r="C85" s="47">
        <v>57208339729</v>
      </c>
      <c r="D85" s="47" t="s">
        <v>1117</v>
      </c>
      <c r="E85" s="47">
        <v>2023</v>
      </c>
      <c r="F85" s="47" t="s">
        <v>1118</v>
      </c>
      <c r="G85" s="47">
        <v>12</v>
      </c>
      <c r="H85" s="47">
        <v>6</v>
      </c>
      <c r="I85" s="47">
        <v>337</v>
      </c>
      <c r="J85" s="47"/>
      <c r="K85" s="47"/>
      <c r="L85" s="47"/>
      <c r="M85" s="47">
        <v>4</v>
      </c>
      <c r="N85" s="47" t="s">
        <v>1119</v>
      </c>
      <c r="O85" s="47" t="s">
        <v>1120</v>
      </c>
      <c r="P85" s="47" t="s">
        <v>629</v>
      </c>
      <c r="Q85" s="48" t="s">
        <v>630</v>
      </c>
      <c r="R85" s="21" t="s">
        <v>719</v>
      </c>
    </row>
    <row r="86" spans="1:18">
      <c r="A86" s="47" t="s">
        <v>1121</v>
      </c>
      <c r="B86" s="47" t="s">
        <v>1122</v>
      </c>
      <c r="C86" s="47" t="s">
        <v>1123</v>
      </c>
      <c r="D86" s="47" t="s">
        <v>1124</v>
      </c>
      <c r="E86" s="47">
        <v>2023</v>
      </c>
      <c r="F86" s="47" t="s">
        <v>972</v>
      </c>
      <c r="G86" s="47">
        <v>11</v>
      </c>
      <c r="H86" s="47">
        <v>2</v>
      </c>
      <c r="I86" s="47"/>
      <c r="J86" s="47">
        <v>289</v>
      </c>
      <c r="K86" s="47">
        <v>310</v>
      </c>
      <c r="L86" s="47">
        <v>21</v>
      </c>
      <c r="M86" s="47">
        <v>1</v>
      </c>
      <c r="N86" s="47" t="s">
        <v>1125</v>
      </c>
      <c r="O86" s="47" t="s">
        <v>1126</v>
      </c>
      <c r="P86" s="47" t="s">
        <v>629</v>
      </c>
      <c r="Q86" s="48" t="s">
        <v>630</v>
      </c>
      <c r="R86" s="21" t="s">
        <v>719</v>
      </c>
    </row>
    <row r="87" spans="1:18">
      <c r="A87" s="79" t="s">
        <v>1127</v>
      </c>
      <c r="B87" s="79" t="s">
        <v>1128</v>
      </c>
      <c r="C87" s="79">
        <v>57225054724</v>
      </c>
      <c r="D87" s="79" t="s">
        <v>1129</v>
      </c>
      <c r="E87" s="79">
        <v>2023</v>
      </c>
      <c r="F87" s="79" t="s">
        <v>676</v>
      </c>
      <c r="G87" s="79">
        <v>36</v>
      </c>
      <c r="H87" s="79">
        <v>1</v>
      </c>
      <c r="I87" s="79"/>
      <c r="J87" s="79">
        <v>119</v>
      </c>
      <c r="K87" s="79">
        <v>147</v>
      </c>
      <c r="L87" s="79">
        <v>28</v>
      </c>
      <c r="M87" s="79">
        <v>12</v>
      </c>
      <c r="N87" s="79" t="s">
        <v>1130</v>
      </c>
      <c r="O87" s="79" t="s">
        <v>1131</v>
      </c>
      <c r="P87" s="79" t="s">
        <v>629</v>
      </c>
      <c r="Q87" s="80" t="s">
        <v>630</v>
      </c>
      <c r="R87" s="81" t="s">
        <v>1069</v>
      </c>
    </row>
    <row r="88" spans="1:18">
      <c r="A88" s="47" t="s">
        <v>1132</v>
      </c>
      <c r="B88" s="47" t="s">
        <v>1133</v>
      </c>
      <c r="C88" s="47">
        <v>57194574240</v>
      </c>
      <c r="D88" s="47" t="s">
        <v>1134</v>
      </c>
      <c r="E88" s="47">
        <v>2024</v>
      </c>
      <c r="F88" s="47" t="s">
        <v>978</v>
      </c>
      <c r="G88" s="47">
        <v>11</v>
      </c>
      <c r="H88" s="47">
        <v>1</v>
      </c>
      <c r="I88" s="47"/>
      <c r="J88" s="47">
        <v>87</v>
      </c>
      <c r="K88" s="47">
        <v>113</v>
      </c>
      <c r="L88" s="47">
        <v>26</v>
      </c>
      <c r="M88" s="47">
        <v>0</v>
      </c>
      <c r="N88" s="47" t="s">
        <v>1135</v>
      </c>
      <c r="O88" s="47" t="s">
        <v>1136</v>
      </c>
      <c r="P88" s="47" t="s">
        <v>629</v>
      </c>
      <c r="Q88" s="48" t="s">
        <v>630</v>
      </c>
    </row>
    <row r="89" spans="1:18">
      <c r="A89" s="47" t="s">
        <v>1137</v>
      </c>
      <c r="B89" s="47" t="s">
        <v>1138</v>
      </c>
      <c r="C89" s="47">
        <v>56192649300</v>
      </c>
      <c r="D89" s="47" t="s">
        <v>1139</v>
      </c>
      <c r="E89" s="47">
        <v>2024</v>
      </c>
      <c r="F89" s="47" t="s">
        <v>1140</v>
      </c>
      <c r="G89" s="47"/>
      <c r="H89" s="47"/>
      <c r="I89" s="47"/>
      <c r="J89" s="47"/>
      <c r="K89" s="47"/>
      <c r="L89" s="47"/>
      <c r="M89" s="47">
        <v>0</v>
      </c>
      <c r="N89" s="47" t="s">
        <v>1141</v>
      </c>
      <c r="O89" s="47" t="s">
        <v>1142</v>
      </c>
      <c r="P89" s="47" t="s">
        <v>629</v>
      </c>
      <c r="Q89" s="48" t="s">
        <v>1143</v>
      </c>
    </row>
    <row r="90" spans="1:18">
      <c r="A90" s="47" t="s">
        <v>1144</v>
      </c>
      <c r="B90" s="47" t="s">
        <v>1145</v>
      </c>
      <c r="C90" s="47">
        <v>57913771700</v>
      </c>
      <c r="D90" s="47" t="s">
        <v>1146</v>
      </c>
      <c r="E90" s="47">
        <v>2024</v>
      </c>
      <c r="F90" s="47" t="s">
        <v>676</v>
      </c>
      <c r="G90" s="47">
        <v>37</v>
      </c>
      <c r="H90" s="47">
        <v>1</v>
      </c>
      <c r="I90" s="47"/>
      <c r="J90" s="47">
        <v>30</v>
      </c>
      <c r="K90" s="47">
        <v>55</v>
      </c>
      <c r="L90" s="47">
        <v>25</v>
      </c>
      <c r="M90" s="47">
        <v>4</v>
      </c>
      <c r="N90" s="47" t="s">
        <v>1147</v>
      </c>
      <c r="O90" s="47" t="s">
        <v>1148</v>
      </c>
      <c r="P90" s="47" t="s">
        <v>629</v>
      </c>
      <c r="Q90" s="48" t="s">
        <v>630</v>
      </c>
    </row>
    <row r="91" spans="1:18">
      <c r="A91" s="47" t="s">
        <v>959</v>
      </c>
      <c r="B91" s="47" t="s">
        <v>960</v>
      </c>
      <c r="C91" s="47">
        <v>57208339729</v>
      </c>
      <c r="D91" s="47" t="s">
        <v>1149</v>
      </c>
      <c r="E91" s="47">
        <v>2024</v>
      </c>
      <c r="F91" s="47" t="s">
        <v>1150</v>
      </c>
      <c r="G91" s="47">
        <v>13</v>
      </c>
      <c r="H91" s="47">
        <v>2</v>
      </c>
      <c r="I91" s="47"/>
      <c r="J91" s="47">
        <v>166</v>
      </c>
      <c r="K91" s="47">
        <v>192</v>
      </c>
      <c r="L91" s="47">
        <v>26</v>
      </c>
      <c r="M91" s="47">
        <v>0</v>
      </c>
      <c r="N91" s="47" t="s">
        <v>1151</v>
      </c>
      <c r="O91" s="47" t="s">
        <v>1152</v>
      </c>
      <c r="P91" s="47" t="s">
        <v>629</v>
      </c>
      <c r="Q91" s="48" t="s">
        <v>630</v>
      </c>
      <c r="R91" s="21" t="s">
        <v>638</v>
      </c>
    </row>
    <row r="92" spans="1:18">
      <c r="A92" s="47" t="s">
        <v>1153</v>
      </c>
      <c r="B92" s="47" t="s">
        <v>1154</v>
      </c>
      <c r="C92" s="47" t="s">
        <v>1155</v>
      </c>
      <c r="D92" s="47" t="s">
        <v>1156</v>
      </c>
      <c r="E92" s="47">
        <v>2024</v>
      </c>
      <c r="F92" s="47" t="s">
        <v>1157</v>
      </c>
      <c r="G92" s="47">
        <v>113</v>
      </c>
      <c r="H92" s="47">
        <v>1</v>
      </c>
      <c r="I92" s="47"/>
      <c r="J92" s="47">
        <v>56</v>
      </c>
      <c r="K92" s="47">
        <v>70</v>
      </c>
      <c r="L92" s="47">
        <v>14</v>
      </c>
      <c r="M92" s="47">
        <v>0</v>
      </c>
      <c r="N92" s="47" t="s">
        <v>1158</v>
      </c>
      <c r="O92" s="47" t="s">
        <v>1159</v>
      </c>
      <c r="P92" s="47" t="s">
        <v>629</v>
      </c>
      <c r="Q92" s="48" t="s">
        <v>630</v>
      </c>
    </row>
    <row r="93" spans="1:18">
      <c r="A93" s="47" t="s">
        <v>1160</v>
      </c>
      <c r="B93" s="47" t="s">
        <v>1161</v>
      </c>
      <c r="C93" s="47">
        <v>57219097749</v>
      </c>
      <c r="D93" s="47" t="s">
        <v>1162</v>
      </c>
      <c r="E93" s="47">
        <v>2024</v>
      </c>
      <c r="F93" s="47" t="s">
        <v>676</v>
      </c>
      <c r="G93" s="47">
        <v>37</v>
      </c>
      <c r="H93" s="47">
        <v>3</v>
      </c>
      <c r="I93" s="47"/>
      <c r="J93" s="47">
        <v>475</v>
      </c>
      <c r="K93" s="47">
        <v>503</v>
      </c>
      <c r="L93" s="47">
        <v>28</v>
      </c>
      <c r="M93" s="47">
        <v>1</v>
      </c>
      <c r="N93" s="47" t="s">
        <v>1163</v>
      </c>
      <c r="O93" s="47" t="s">
        <v>1164</v>
      </c>
      <c r="P93" s="47" t="s">
        <v>629</v>
      </c>
      <c r="Q93" s="48" t="s">
        <v>630</v>
      </c>
    </row>
    <row r="94" spans="1:18">
      <c r="A94" s="47" t="s">
        <v>1165</v>
      </c>
      <c r="B94" s="47" t="s">
        <v>1166</v>
      </c>
      <c r="C94" s="47" t="s">
        <v>1167</v>
      </c>
      <c r="D94" s="47" t="s">
        <v>1168</v>
      </c>
      <c r="E94" s="47">
        <v>2024</v>
      </c>
      <c r="F94" s="47" t="s">
        <v>804</v>
      </c>
      <c r="G94" s="47">
        <v>165</v>
      </c>
      <c r="H94" s="47"/>
      <c r="I94" s="47">
        <v>106229</v>
      </c>
      <c r="J94" s="47"/>
      <c r="K94" s="47"/>
      <c r="L94" s="47"/>
      <c r="M94" s="47">
        <v>1</v>
      </c>
      <c r="N94" s="47" t="s">
        <v>1169</v>
      </c>
      <c r="O94" s="47" t="s">
        <v>1170</v>
      </c>
      <c r="P94" s="47" t="s">
        <v>629</v>
      </c>
      <c r="Q94" s="48" t="s">
        <v>630</v>
      </c>
    </row>
    <row r="95" spans="1:18">
      <c r="A95" s="47" t="s">
        <v>959</v>
      </c>
      <c r="B95" s="47" t="s">
        <v>960</v>
      </c>
      <c r="C95" s="47">
        <v>57208339729</v>
      </c>
      <c r="D95" s="47" t="s">
        <v>1171</v>
      </c>
      <c r="E95" s="47">
        <v>2024</v>
      </c>
      <c r="F95" s="47" t="s">
        <v>962</v>
      </c>
      <c r="G95" s="47">
        <v>10</v>
      </c>
      <c r="H95" s="47">
        <v>1</v>
      </c>
      <c r="I95" s="47">
        <v>2317533</v>
      </c>
      <c r="J95" s="47"/>
      <c r="K95" s="47"/>
      <c r="L95" s="47"/>
      <c r="M95" s="47">
        <v>0</v>
      </c>
      <c r="N95" s="47" t="s">
        <v>1172</v>
      </c>
      <c r="O95" s="47" t="s">
        <v>1173</v>
      </c>
      <c r="P95" s="47" t="s">
        <v>629</v>
      </c>
      <c r="Q95" s="48" t="s">
        <v>630</v>
      </c>
      <c r="R95" s="21" t="s">
        <v>719</v>
      </c>
    </row>
    <row r="96" spans="1:18">
      <c r="A96" s="47" t="s">
        <v>1174</v>
      </c>
      <c r="B96" s="47" t="s">
        <v>1175</v>
      </c>
      <c r="C96" s="47" t="s">
        <v>1176</v>
      </c>
      <c r="D96" s="47" t="s">
        <v>1177</v>
      </c>
      <c r="E96" s="47">
        <v>2024</v>
      </c>
      <c r="F96" s="47" t="s">
        <v>1095</v>
      </c>
      <c r="G96" s="47"/>
      <c r="H96" s="47"/>
      <c r="I96" s="47"/>
      <c r="J96" s="47"/>
      <c r="K96" s="47"/>
      <c r="L96" s="47"/>
      <c r="M96" s="47">
        <v>0</v>
      </c>
      <c r="N96" s="47" t="s">
        <v>1178</v>
      </c>
      <c r="O96" s="47" t="s">
        <v>1179</v>
      </c>
      <c r="P96" s="47" t="s">
        <v>629</v>
      </c>
      <c r="Q96" s="48" t="s">
        <v>1143</v>
      </c>
    </row>
    <row r="97" spans="1:18">
      <c r="A97" s="47" t="s">
        <v>1180</v>
      </c>
      <c r="B97" s="47" t="s">
        <v>1181</v>
      </c>
      <c r="C97" s="47">
        <v>58793381200</v>
      </c>
      <c r="D97" s="47" t="s">
        <v>1182</v>
      </c>
      <c r="E97" s="47">
        <v>2024</v>
      </c>
      <c r="F97" s="47" t="s">
        <v>804</v>
      </c>
      <c r="G97" s="47">
        <v>165</v>
      </c>
      <c r="H97" s="47"/>
      <c r="I97" s="47">
        <v>106189</v>
      </c>
      <c r="J97" s="47"/>
      <c r="K97" s="47"/>
      <c r="L97" s="47"/>
      <c r="M97" s="47">
        <v>0</v>
      </c>
      <c r="N97" s="47" t="s">
        <v>1183</v>
      </c>
      <c r="O97" s="47" t="s">
        <v>1184</v>
      </c>
      <c r="P97" s="47" t="s">
        <v>629</v>
      </c>
      <c r="Q97" s="48" t="s">
        <v>630</v>
      </c>
    </row>
    <row r="98" spans="1:18">
      <c r="A98" s="47" t="s">
        <v>1185</v>
      </c>
      <c r="B98" s="47" t="s">
        <v>1186</v>
      </c>
      <c r="C98" s="47">
        <v>57202950651</v>
      </c>
      <c r="D98" s="47" t="s">
        <v>1187</v>
      </c>
      <c r="E98" s="47">
        <v>2024</v>
      </c>
      <c r="F98" s="47" t="s">
        <v>676</v>
      </c>
      <c r="G98" s="47">
        <v>37</v>
      </c>
      <c r="H98" s="47">
        <v>1</v>
      </c>
      <c r="I98" s="47"/>
      <c r="J98" s="47">
        <v>211</v>
      </c>
      <c r="K98" s="47">
        <v>243</v>
      </c>
      <c r="L98" s="47">
        <v>32</v>
      </c>
      <c r="M98" s="47">
        <v>3</v>
      </c>
      <c r="N98" s="47" t="s">
        <v>1188</v>
      </c>
      <c r="O98" s="47" t="s">
        <v>1189</v>
      </c>
      <c r="P98" s="47" t="s">
        <v>629</v>
      </c>
      <c r="Q98" s="48" t="s">
        <v>630</v>
      </c>
    </row>
    <row r="99" spans="1:18">
      <c r="A99" s="47" t="s">
        <v>1190</v>
      </c>
      <c r="B99" s="47" t="s">
        <v>1191</v>
      </c>
      <c r="C99" s="47">
        <v>35830658400</v>
      </c>
      <c r="D99" s="47" t="s">
        <v>1192</v>
      </c>
      <c r="E99" s="47">
        <v>2024</v>
      </c>
      <c r="F99" s="47" t="s">
        <v>1193</v>
      </c>
      <c r="G99" s="47"/>
      <c r="H99" s="47"/>
      <c r="I99" s="47"/>
      <c r="J99" s="47"/>
      <c r="K99" s="47"/>
      <c r="L99" s="47"/>
      <c r="M99" s="47">
        <v>0</v>
      </c>
      <c r="N99" s="47" t="s">
        <v>1194</v>
      </c>
      <c r="O99" s="47" t="s">
        <v>1195</v>
      </c>
      <c r="P99" s="47" t="s">
        <v>629</v>
      </c>
      <c r="Q99" s="48" t="s">
        <v>1143</v>
      </c>
      <c r="R99" s="21" t="s">
        <v>1069</v>
      </c>
    </row>
  </sheetData>
  <pageMargins left="0.7" right="0.7" top="0.75" bottom="0.75" header="0.3" footer="0.3"/>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SCMP</vt:lpstr>
      <vt:lpstr>Nikkei Asia</vt:lpstr>
      <vt:lpstr>ST</vt:lpstr>
      <vt:lpstr>GOOGLE NEWS</vt:lpstr>
      <vt:lpstr>CHART_Summary</vt:lpstr>
      <vt:lpstr>Official_Doc</vt:lpstr>
      <vt:lpstr>News</vt:lpstr>
      <vt:lpstr>Scopus_articles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Anwar</dc:creator>
  <cp:lastModifiedBy>Anwar Ahmad</cp:lastModifiedBy>
  <dcterms:created xsi:type="dcterms:W3CDTF">2024-09-02T21:55:17Z</dcterms:created>
  <dcterms:modified xsi:type="dcterms:W3CDTF">2026-02-13T01:29:32Z</dcterms:modified>
</cp:coreProperties>
</file>