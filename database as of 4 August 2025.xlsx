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corvinus-my.sharepoint.com/personal/ahmad_anwar_stud_uni-corvinus_hu/Documents/CORVINUS kuliah/Dissertation/DATA/"/>
    </mc:Choice>
  </mc:AlternateContent>
  <xr:revisionPtr revIDLastSave="549" documentId="8_{DC1C0ED9-C143-4EBD-BBB1-295CD6319EB6}" xr6:coauthVersionLast="47" xr6:coauthVersionMax="47" xr10:uidLastSave="{CA0DC5A2-EB43-4672-A872-356E77B348AD}"/>
  <bookViews>
    <workbookView minimized="1" xWindow="390" yWindow="390" windowWidth="14400" windowHeight="8145" activeTab="1" xr2:uid="{3454C194-AF58-452C-B938-D0A5D38E7CD4}"/>
  </bookViews>
  <sheets>
    <sheet name="DATA FULL" sheetId="2" r:id="rId1"/>
    <sheet name="EXC rate" sheetId="7" r:id="rId2"/>
    <sheet name="DATA FULL (Log)" sheetId="6" r:id="rId3"/>
    <sheet name="GDP" sheetId="3" r:id="rId4"/>
    <sheet name="Conflict Table" sheetId="4" r:id="rId5"/>
    <sheet name="Conflict Graph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" i="7"/>
  <c r="D204" i="2"/>
  <c r="E204" i="2"/>
  <c r="F204" i="2"/>
  <c r="G204" i="2"/>
  <c r="H204" i="2"/>
  <c r="I204" i="2"/>
  <c r="J204" i="2"/>
  <c r="K204" i="2"/>
  <c r="D205" i="2"/>
  <c r="E205" i="2"/>
  <c r="F205" i="2"/>
  <c r="G205" i="2"/>
  <c r="H205" i="2"/>
  <c r="I205" i="2"/>
  <c r="J205" i="2"/>
  <c r="K205" i="2"/>
  <c r="D206" i="2"/>
  <c r="E206" i="2"/>
  <c r="F206" i="2"/>
  <c r="G206" i="2"/>
  <c r="H206" i="2"/>
  <c r="I206" i="2"/>
  <c r="J206" i="2"/>
  <c r="K206" i="2"/>
  <c r="D207" i="2"/>
  <c r="E207" i="2"/>
  <c r="F207" i="2"/>
  <c r="G207" i="2"/>
  <c r="H207" i="2"/>
  <c r="I207" i="2"/>
  <c r="J207" i="2"/>
  <c r="K207" i="2"/>
  <c r="D203" i="2"/>
  <c r="E203" i="2"/>
  <c r="F203" i="2"/>
  <c r="G203" i="2"/>
  <c r="H203" i="2"/>
  <c r="I203" i="2"/>
  <c r="J203" i="2"/>
  <c r="K203" i="2"/>
  <c r="H3" i="6"/>
  <c r="H4" i="6"/>
  <c r="H5" i="6"/>
  <c r="H207" i="6" s="1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G3" i="6"/>
  <c r="G4" i="6"/>
  <c r="G5" i="6"/>
  <c r="G205" i="6" s="1"/>
  <c r="G6" i="6"/>
  <c r="G206" i="6" s="1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H2" i="6"/>
  <c r="G2" i="6"/>
  <c r="G207" i="6"/>
  <c r="H206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" i="6"/>
  <c r="I207" i="6" s="1"/>
  <c r="K207" i="6"/>
  <c r="K206" i="6"/>
  <c r="K205" i="6"/>
  <c r="K204" i="6"/>
  <c r="K203" i="6"/>
  <c r="J207" i="6"/>
  <c r="J206" i="6"/>
  <c r="J205" i="6"/>
  <c r="J204" i="6"/>
  <c r="J203" i="6"/>
  <c r="D3" i="6"/>
  <c r="D4" i="6"/>
  <c r="D5" i="6"/>
  <c r="D203" i="6" s="1"/>
  <c r="D6" i="6"/>
  <c r="D206" i="6" s="1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" i="6"/>
  <c r="D205" i="6"/>
  <c r="F207" i="6"/>
  <c r="F206" i="6"/>
  <c r="F205" i="6"/>
  <c r="F204" i="6"/>
  <c r="F203" i="6"/>
  <c r="E207" i="6"/>
  <c r="E206" i="6"/>
  <c r="E205" i="6"/>
  <c r="E204" i="6"/>
  <c r="E203" i="6"/>
  <c r="C207" i="2"/>
  <c r="C206" i="2"/>
  <c r="C205" i="2"/>
  <c r="C204" i="2"/>
  <c r="C203" i="2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" i="6"/>
  <c r="C3" i="6"/>
  <c r="C4" i="6"/>
  <c r="C5" i="6"/>
  <c r="C205" i="6" s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" i="6"/>
  <c r="C207" i="6" s="1"/>
  <c r="C20" i="3"/>
  <c r="C21" i="3"/>
  <c r="A20" i="3"/>
  <c r="B20" i="3"/>
  <c r="A21" i="3"/>
  <c r="B21" i="3"/>
  <c r="C40" i="3"/>
  <c r="C41" i="3"/>
  <c r="A40" i="3"/>
  <c r="B40" i="3"/>
  <c r="A41" i="3"/>
  <c r="B41" i="3"/>
  <c r="C60" i="3"/>
  <c r="C61" i="3"/>
  <c r="A60" i="3"/>
  <c r="B60" i="3"/>
  <c r="A61" i="3"/>
  <c r="B61" i="3"/>
  <c r="C80" i="3"/>
  <c r="C81" i="3"/>
  <c r="A80" i="3"/>
  <c r="B80" i="3"/>
  <c r="A81" i="3"/>
  <c r="B81" i="3"/>
  <c r="C100" i="3"/>
  <c r="C101" i="3"/>
  <c r="A100" i="3"/>
  <c r="B100" i="3"/>
  <c r="A101" i="3"/>
  <c r="B101" i="3"/>
  <c r="C120" i="3"/>
  <c r="C121" i="3"/>
  <c r="A120" i="3"/>
  <c r="B120" i="3"/>
  <c r="A121" i="3"/>
  <c r="B121" i="3"/>
  <c r="C140" i="3"/>
  <c r="C141" i="3"/>
  <c r="A140" i="3"/>
  <c r="B140" i="3"/>
  <c r="A141" i="3"/>
  <c r="B141" i="3"/>
  <c r="C160" i="3"/>
  <c r="C161" i="3"/>
  <c r="A160" i="3"/>
  <c r="B160" i="3"/>
  <c r="A161" i="3"/>
  <c r="B161" i="3"/>
  <c r="C180" i="3"/>
  <c r="C181" i="3"/>
  <c r="A180" i="3"/>
  <c r="B180" i="3"/>
  <c r="A181" i="3"/>
  <c r="B181" i="3"/>
  <c r="C200" i="3"/>
  <c r="C201" i="3"/>
  <c r="A200" i="3"/>
  <c r="B200" i="3"/>
  <c r="A201" i="3"/>
  <c r="B201" i="3"/>
  <c r="C220" i="3"/>
  <c r="C221" i="3"/>
  <c r="C219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0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" i="3"/>
  <c r="A156" i="3"/>
  <c r="A157" i="3"/>
  <c r="A158" i="3"/>
  <c r="A159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2" i="3"/>
  <c r="H204" i="6" l="1"/>
  <c r="H205" i="6"/>
  <c r="H203" i="6"/>
  <c r="G203" i="6"/>
  <c r="G204" i="6"/>
  <c r="I204" i="6"/>
  <c r="I205" i="6"/>
  <c r="I206" i="6"/>
  <c r="I203" i="6"/>
  <c r="D207" i="6"/>
  <c r="D204" i="6"/>
  <c r="C204" i="6"/>
  <c r="C203" i="6"/>
  <c r="C206" i="6"/>
</calcChain>
</file>

<file path=xl/sharedStrings.xml><?xml version="1.0" encoding="utf-8"?>
<sst xmlns="http://schemas.openxmlformats.org/spreadsheetml/2006/main" count="635" uniqueCount="66">
  <si>
    <t>Country</t>
  </si>
  <si>
    <t>Year</t>
  </si>
  <si>
    <t>Distance (km)</t>
  </si>
  <si>
    <t>Total GDP (current US$) WB</t>
  </si>
  <si>
    <t>CHINA's Total GDP (current US$) WB</t>
  </si>
  <si>
    <t>Consumer price index (2010 = 100) IMF</t>
  </si>
  <si>
    <t>CHINA's Consumer price index (2010 = 100) IMF/Unstats</t>
  </si>
  <si>
    <t>Local currency IMF (vs RMB)</t>
  </si>
  <si>
    <t xml:space="preserve"> Simple average duty (%) WTO</t>
  </si>
  <si>
    <t>Conflict with China (Frequency)</t>
  </si>
  <si>
    <t>Brunei Darussalam</t>
  </si>
  <si>
    <t>Cambodia</t>
  </si>
  <si>
    <t>Indonesia</t>
  </si>
  <si>
    <t>Lao PDR</t>
  </si>
  <si>
    <t>Malaysia</t>
  </si>
  <si>
    <t>Myanmar</t>
  </si>
  <si>
    <t>Philippines</t>
  </si>
  <si>
    <t>Singapore</t>
  </si>
  <si>
    <t>Thailand</t>
  </si>
  <si>
    <t>Vietnam</t>
  </si>
  <si>
    <t>Total GDP</t>
  </si>
  <si>
    <t>China</t>
  </si>
  <si>
    <t>All levels of conflicts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</si>
  <si>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</si>
  <si>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</si>
  <si>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</si>
  <si>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</si>
  <si>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</si>
  <si>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</si>
  <si>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</si>
  <si>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</si>
  <si>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</si>
  <si>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</si>
  <si>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</si>
  <si>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</si>
  <si>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</si>
  <si>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</si>
  <si>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</si>
  <si>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</si>
  <si>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</si>
  <si>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</si>
  <si>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 xml:space="preserve">Brunei </t>
  </si>
  <si>
    <t>Coercive &amp; Force ONLY</t>
  </si>
  <si>
    <t>2023</t>
  </si>
  <si>
    <t>2024</t>
  </si>
  <si>
    <t xml:space="preserve">Declarative </t>
    <phoneticPr fontId="4" type="noConversion"/>
  </si>
  <si>
    <t>Demonstrative</t>
  </si>
  <si>
    <t xml:space="preserve">Coercive </t>
    <phoneticPr fontId="4" type="noConversion"/>
  </si>
  <si>
    <t xml:space="preserve">Mil force </t>
  </si>
  <si>
    <t>Mean</t>
  </si>
  <si>
    <t>Std. Dev.</t>
  </si>
  <si>
    <t>Median</t>
  </si>
  <si>
    <t>Min</t>
  </si>
  <si>
    <t>Max</t>
  </si>
  <si>
    <t>note: logged ones are bolded</t>
  </si>
  <si>
    <t>Total trade with China (current US$) IMF</t>
  </si>
  <si>
    <t>BRN</t>
  </si>
  <si>
    <t>CAM</t>
  </si>
  <si>
    <t>IND</t>
  </si>
  <si>
    <t>LAO</t>
  </si>
  <si>
    <t>MMR</t>
  </si>
  <si>
    <t>MYS</t>
  </si>
  <si>
    <t>PHL</t>
  </si>
  <si>
    <t>SGP</t>
  </si>
  <si>
    <t>THA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</si>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</sst>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#,##0.00;[Red]#,##0.00"/>
  </numFmts>
  <fonts count="1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Verdana"/>
      <family val="2"/>
    </font>
    <font>
      <sz val="8"/>
      <name val="Aptos Narrow"/>
      <family val="2"/>
      <scheme val="minor"/>
    </font>
    <font>
      <b/>
      <sz val="12"/>
      <color theme="1"/>
      <name val="Aptos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58">
    <xf numFmtId="0" fontId="0" fillId="0" borderId="0" xfId="0"/>
    <xf numFmtId="0" fontId="1" fillId="0" borderId="1" xfId="0" applyFont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wrapText="1"/>
    </xf>
    <xf numFmtId="1" fontId="1" fillId="3" borderId="2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wrapText="1"/>
    </xf>
    <xf numFmtId="2" fontId="1" fillId="4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2" fontId="1" fillId="4" borderId="2" xfId="0" applyNumberFormat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2" fontId="1" fillId="4" borderId="3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" fontId="1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" fontId="4" fillId="4" borderId="0" xfId="0" applyNumberFormat="1" applyFont="1" applyFill="1" applyAlignment="1">
      <alignment horizontal="center"/>
    </xf>
    <xf numFmtId="2" fontId="0" fillId="4" borderId="0" xfId="0" applyNumberFormat="1" applyFill="1"/>
    <xf numFmtId="0" fontId="0" fillId="4" borderId="0" xfId="0" applyFill="1"/>
    <xf numFmtId="164" fontId="1" fillId="2" borderId="0" xfId="0" applyNumberFormat="1" applyFont="1" applyFill="1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49" fontId="6" fillId="0" borderId="0" xfId="0" applyNumberFormat="1" applyFont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5" xfId="0" applyFont="1" applyBorder="1" applyAlignment="1">
      <alignment horizontal="left" vertical="center" wrapText="1" indent="1"/>
    </xf>
    <xf numFmtId="165" fontId="1" fillId="2" borderId="2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wrapText="1"/>
    </xf>
    <xf numFmtId="1" fontId="9" fillId="3" borderId="2" xfId="0" applyNumberFormat="1" applyFont="1" applyFill="1" applyBorder="1" applyAlignment="1">
      <alignment horizontal="center" wrapText="1"/>
    </xf>
    <xf numFmtId="3" fontId="10" fillId="3" borderId="1" xfId="0" applyNumberFormat="1" applyFont="1" applyFill="1" applyBorder="1" applyAlignment="1">
      <alignment horizontal="center" wrapText="1"/>
    </xf>
    <xf numFmtId="4" fontId="10" fillId="4" borderId="1" xfId="0" applyNumberFormat="1" applyFont="1" applyFill="1" applyBorder="1" applyAlignment="1">
      <alignment horizontal="center" wrapText="1"/>
    </xf>
    <xf numFmtId="0" fontId="9" fillId="0" borderId="0" xfId="0" applyFont="1"/>
    <xf numFmtId="2" fontId="9" fillId="4" borderId="1" xfId="0" applyNumberFormat="1" applyFont="1" applyFill="1" applyBorder="1" applyAlignment="1">
      <alignment horizontal="center" wrapText="1"/>
    </xf>
    <xf numFmtId="0" fontId="5" fillId="5" borderId="0" xfId="0" applyFont="1" applyFill="1" applyAlignment="1">
      <alignment horizontal="center"/>
    </xf>
    <xf numFmtId="0" fontId="11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right" vertical="center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right" vertical="center"/>
    </xf>
  </cellXfs>
  <cellStyles count="2">
    <cellStyle name="Normal" xfId="0" builtinId="0"/>
    <cellStyle name="pvtRow" xfId="1" xr:uid="{6EF2B11A-8745-4253-B334-E620AC46F6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Philippines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Declarative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Graphs'!$BJ$3:$CC$3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Graphs'!$BJ$4:$CC$4</c:f>
              <c:numCache>
                <c:formatCode>General</c:formatCode>
                <c:ptCount val="20"/>
                <c:pt idx="4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5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8-46A2-ACE6-05C16CF933EB}"/>
            </c:ext>
          </c:extLst>
        </c:ser>
        <c:ser>
          <c:idx val="2"/>
          <c:order val="2"/>
          <c:tx>
            <c:v>Demonstrative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Graphs'!$BJ$3:$CC$3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Graphs'!$BJ$5:$CC$5</c:f>
              <c:numCache>
                <c:formatCode>General</c:formatCode>
                <c:ptCount val="20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8-46A2-ACE6-05C16CF933EB}"/>
            </c:ext>
          </c:extLst>
        </c:ser>
        <c:ser>
          <c:idx val="3"/>
          <c:order val="3"/>
          <c:tx>
            <c:v>Coercive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Graphs'!$BJ$3:$CC$3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Graphs'!$BJ$6:$CC$6</c:f>
              <c:numCache>
                <c:formatCode>General</c:formatCode>
                <c:ptCount val="20"/>
                <c:pt idx="6">
                  <c:v>1</c:v>
                </c:pt>
                <c:pt idx="7">
                  <c:v>1</c:v>
                </c:pt>
                <c:pt idx="9">
                  <c:v>2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58-46A2-ACE6-05C16CF933EB}"/>
            </c:ext>
          </c:extLst>
        </c:ser>
        <c:ser>
          <c:idx val="4"/>
          <c:order val="4"/>
          <c:tx>
            <c:v>Force</c:v>
          </c:tx>
          <c:spPr>
            <a:solidFill>
              <a:srgbClr val="A500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Graphs'!$BJ$3:$CC$3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Graphs'!$BJ$7:$CC$7</c:f>
              <c:numCache>
                <c:formatCode>General</c:formatCode>
                <c:ptCount val="20"/>
                <c:pt idx="7">
                  <c:v>1</c:v>
                </c:pt>
                <c:pt idx="15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8-4D6C-B73B-EDF9158F33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16466304"/>
        <c:axId val="101647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'Conflict Graphs'!$BJ$3:$CC$3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'Conflict Graphs'!$BJ$3:$CC$3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658-46A2-ACE6-05C16CF933EB}"/>
                  </c:ext>
                </c:extLst>
              </c15:ser>
            </c15:filteredBarSeries>
          </c:ext>
        </c:extLst>
      </c:barChart>
      <c:catAx>
        <c:axId val="10164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79264"/>
        <c:crosses val="autoZero"/>
        <c:auto val="1"/>
        <c:lblAlgn val="ctr"/>
        <c:lblOffset val="100"/>
        <c:noMultiLvlLbl val="0"/>
      </c:catAx>
      <c:valAx>
        <c:axId val="101647926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663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Malaysia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Declarative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Graphs'!$AP$3:$BI$3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Graphs'!$AP$4:$BI$4</c:f>
              <c:numCache>
                <c:formatCode>General</c:formatCode>
                <c:ptCount val="20"/>
                <c:pt idx="4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2-4D9B-87D9-C42D0069290E}"/>
            </c:ext>
          </c:extLst>
        </c:ser>
        <c:ser>
          <c:idx val="2"/>
          <c:order val="2"/>
          <c:tx>
            <c:v>Demonstrative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Graphs'!$AP$3:$BI$3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Graphs'!$AP$5:$BI$5</c:f>
              <c:numCache>
                <c:formatCode>General</c:formatCode>
                <c:ptCount val="20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42-4D9B-87D9-C42D0069290E}"/>
            </c:ext>
          </c:extLst>
        </c:ser>
        <c:ser>
          <c:idx val="3"/>
          <c:order val="3"/>
          <c:tx>
            <c:v>Coercive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Graphs'!$AP$3:$BI$3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Graphs'!$AP$6:$BI$6</c:f>
              <c:numCache>
                <c:formatCode>General</c:formatCode>
                <c:ptCount val="20"/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42-4D9B-87D9-C42D0069290E}"/>
            </c:ext>
          </c:extLst>
        </c:ser>
        <c:ser>
          <c:idx val="4"/>
          <c:order val="4"/>
          <c:tx>
            <c:v>Force</c:v>
          </c:tx>
          <c:spPr>
            <a:solidFill>
              <a:srgbClr val="A500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Graphs'!$AP$3:$BI$3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Graphs'!$AP$7:$BI$7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0916-43B4-B6D6-0713B30E7A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868256"/>
        <c:axId val="7768634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'Conflict Graphs'!$AP$3:$BI$3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'Conflict Graphs'!$AP$3:$BI$3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E42-4D9B-87D9-C42D0069290E}"/>
                  </c:ext>
                </c:extLst>
              </c15:ser>
            </c15:filteredBarSeries>
          </c:ext>
        </c:extLst>
      </c:barChart>
      <c:catAx>
        <c:axId val="7768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63456"/>
        <c:crosses val="autoZero"/>
        <c:auto val="1"/>
        <c:lblAlgn val="ctr"/>
        <c:lblOffset val="100"/>
        <c:noMultiLvlLbl val="0"/>
      </c:catAx>
      <c:valAx>
        <c:axId val="77686345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68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Indonesia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Declarative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Graphs'!$V$3:$AO$3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Graphs'!$V$4:$AO$4</c:f>
              <c:numCache>
                <c:formatCode>General</c:formatCode>
                <c:ptCount val="20"/>
                <c:pt idx="4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D4-4393-979C-0BE2F45DF204}"/>
            </c:ext>
          </c:extLst>
        </c:ser>
        <c:ser>
          <c:idx val="2"/>
          <c:order val="2"/>
          <c:tx>
            <c:v>Demonstrative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Graphs'!$V$3:$AO$3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Graphs'!$V$5:$AO$5</c:f>
              <c:numCache>
                <c:formatCode>General</c:formatCode>
                <c:ptCount val="20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D4-4393-979C-0BE2F45DF204}"/>
            </c:ext>
          </c:extLst>
        </c:ser>
        <c:ser>
          <c:idx val="3"/>
          <c:order val="3"/>
          <c:tx>
            <c:v>Coercive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Graphs'!$V$3:$AO$3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Graphs'!$V$6:$AO$6</c:f>
              <c:numCache>
                <c:formatCode>General</c:formatCode>
                <c:ptCount val="20"/>
                <c:pt idx="5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D4-4393-979C-0BE2F45DF204}"/>
            </c:ext>
          </c:extLst>
        </c:ser>
        <c:ser>
          <c:idx val="4"/>
          <c:order val="4"/>
          <c:tx>
            <c:v>Force</c:v>
          </c:tx>
          <c:spPr>
            <a:solidFill>
              <a:srgbClr val="A500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Graphs'!$V$3:$AO$3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Graphs'!$V$7:$AO$7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F586-4748-8C0F-EF2FB1DFF1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347984"/>
        <c:axId val="8613499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'Conflict Graphs'!$V$3:$AO$3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'Conflict Graphs'!$V$3:$AO$3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CD4-4393-979C-0BE2F45DF204}"/>
                  </c:ext>
                </c:extLst>
              </c15:ser>
            </c15:filteredBarSeries>
          </c:ext>
        </c:extLst>
      </c:barChart>
      <c:catAx>
        <c:axId val="86134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349904"/>
        <c:crosses val="autoZero"/>
        <c:auto val="1"/>
        <c:lblAlgn val="ctr"/>
        <c:lblOffset val="100"/>
        <c:noMultiLvlLbl val="0"/>
      </c:catAx>
      <c:valAx>
        <c:axId val="86134990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3479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275089394126214"/>
          <c:y val="0.13930555555555554"/>
          <c:w val="0.4891117331614285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Brunei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Declarative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'Conflict Graphs'!$B$3:$U$3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Graphs'!$B$4:$U$4</c:f>
              <c:numCache>
                <c:formatCode>General</c:formatCode>
                <c:ptCount val="20"/>
                <c:pt idx="4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6-4342-87F6-782521907C97}"/>
            </c:ext>
          </c:extLst>
        </c:ser>
        <c:ser>
          <c:idx val="2"/>
          <c:order val="2"/>
          <c:tx>
            <c:v>Demonstrative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Graphs'!$B$3:$U$3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Graphs'!$B$5:$U$5</c:f>
              <c:numCache>
                <c:formatCode>General</c:formatCode>
                <c:ptCount val="20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436-4342-87F6-782521907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678816"/>
        <c:axId val="8476711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'Conflict Graphs'!$B$3:$U$3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'Conflict Graphs'!$B$3:$U$3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436-4342-87F6-782521907C9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'Conflict Graphs'!$B$3:$U$3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'Conflict Graphs'!$B$6:$U$6</c15:sqref>
                        </c15:formulaRef>
                      </c:ext>
                    </c:extLst>
                    <c:numCache>
                      <c:formatCode>General</c:formatCode>
                      <c:ptCount val="2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436-4342-87F6-782521907C97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'Conflict Graphs'!$B$3:$U$3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'Conflict Graphs'!$B$7:$U$7</c15:sqref>
                        </c15:formulaRef>
                      </c:ext>
                    </c:extLst>
                    <c:numCache>
                      <c:formatCode>General</c:formatCode>
                      <c:ptCount val="2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50A-4F16-8BC7-C99D610F64CC}"/>
                  </c:ext>
                </c:extLst>
              </c15:ser>
            </c15:filteredBarSeries>
          </c:ext>
        </c:extLst>
      </c:barChart>
      <c:catAx>
        <c:axId val="84767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71136"/>
        <c:crosses val="autoZero"/>
        <c:auto val="1"/>
        <c:lblAlgn val="ctr"/>
        <c:lblOffset val="100"/>
        <c:noMultiLvlLbl val="0"/>
      </c:catAx>
      <c:valAx>
        <c:axId val="8476711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788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Vietnam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Declarative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Graphs'!$CD$3:$CW$3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Graphs'!$CD$4:$CW$4</c:f>
              <c:numCache>
                <c:formatCode>General</c:formatCode>
                <c:ptCount val="20"/>
                <c:pt idx="1">
                  <c:v>1</c:v>
                </c:pt>
                <c:pt idx="4">
                  <c:v>2</c:v>
                </c:pt>
                <c:pt idx="6">
                  <c:v>1</c:v>
                </c:pt>
                <c:pt idx="7">
                  <c:v>2</c:v>
                </c:pt>
                <c:pt idx="9">
                  <c:v>1</c:v>
                </c:pt>
                <c:pt idx="15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2-4B24-9FFF-E4514E19700E}"/>
            </c:ext>
          </c:extLst>
        </c:ser>
        <c:ser>
          <c:idx val="2"/>
          <c:order val="2"/>
          <c:tx>
            <c:v>Demonstrative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Graphs'!$CD$3:$CW$3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Graphs'!$CD$5:$CW$5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42-4B24-9FFF-E4514E19700E}"/>
            </c:ext>
          </c:extLst>
        </c:ser>
        <c:ser>
          <c:idx val="3"/>
          <c:order val="3"/>
          <c:tx>
            <c:v>Coercive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Graphs'!$CD$3:$CW$3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Graphs'!$CD$6:$CW$6</c:f>
              <c:numCache>
                <c:formatCode>General</c:formatCode>
                <c:ptCount val="20"/>
                <c:pt idx="0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42-4B24-9FFF-E4514E19700E}"/>
            </c:ext>
          </c:extLst>
        </c:ser>
        <c:ser>
          <c:idx val="4"/>
          <c:order val="4"/>
          <c:tx>
            <c:v>Force</c:v>
          </c:tx>
          <c:spPr>
            <a:solidFill>
              <a:srgbClr val="A500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'Conflict Graphs'!$CD$3:$CW$3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'Conflict Graphs'!$CD$7:$CW$7</c:f>
              <c:numCache>
                <c:formatCode>General</c:formatCode>
                <c:ptCount val="20"/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4-433A-9801-3DB1EEC515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0554064"/>
        <c:axId val="8405569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'Conflict Graphs'!$CD$3:$CW$3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'Conflict Graphs'!$CD$3:$CW$3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  <c:pt idx="18">
                        <c:v>2023</c:v>
                      </c:pt>
                      <c:pt idx="19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B42-4B24-9FFF-E4514E19700E}"/>
                  </c:ext>
                </c:extLst>
              </c15:ser>
            </c15:filteredBarSeries>
          </c:ext>
        </c:extLst>
      </c:barChart>
      <c:catAx>
        <c:axId val="84055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56944"/>
        <c:crosses val="autoZero"/>
        <c:auto val="1"/>
        <c:lblAlgn val="ctr"/>
        <c:lblOffset val="100"/>
        <c:noMultiLvlLbl val="0"/>
      </c:catAx>
      <c:valAx>
        <c:axId val="84055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5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20635</xdr:colOff>
      <xdr:row>24</xdr:row>
      <xdr:rowOff>93662</xdr:rowOff>
    </xdr:from>
    <xdr:to>
      <xdr:col>25</xdr:col>
      <xdr:colOff>317500</xdr:colOff>
      <xdr:row>38</xdr:row>
      <xdr:rowOff>169862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CC23C-13C3-4604-9F6A-82B98652D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20636</xdr:colOff>
      <xdr:row>8</xdr:row>
      <xdr:rowOff>65087</xdr:rowOff>
    </xdr:from>
    <xdr:to>
      <xdr:col>25</xdr:col>
      <xdr:colOff>333375</xdr:colOff>
      <xdr:row>22</xdr:row>
      <xdr:rowOff>153987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86919E-E8EC-445C-A789-456DD3F2E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36512</xdr:colOff>
      <xdr:row>24</xdr:row>
      <xdr:rowOff>96837</xdr:rowOff>
    </xdr:from>
    <xdr:to>
      <xdr:col>12</xdr:col>
      <xdr:colOff>476250</xdr:colOff>
      <xdr:row>38</xdr:row>
      <xdr:rowOff>173037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CDE4F1-C3A6-4DB8-9741-ABDC12AE0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47625</xdr:colOff>
      <xdr:row>8</xdr:row>
      <xdr:rowOff>61912</xdr:rowOff>
    </xdr:from>
    <xdr:to>
      <xdr:col>12</xdr:col>
      <xdr:colOff>476250</xdr:colOff>
      <xdr:row>22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66349C-59B7-4801-97D1-B2CAAB577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7936</xdr:colOff>
      <xdr:row>39</xdr:row>
      <xdr:rowOff>144462</xdr:rowOff>
    </xdr:from>
    <xdr:to>
      <xdr:col>25</xdr:col>
      <xdr:colOff>317499</xdr:colOff>
      <xdr:row>54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BAF66D-1763-4771-9EC6-B8327489D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F1935-50CD-4247-89E3-4774BBC63C88}" name="Table1" displayName="Table1" ref="A2:S12" totalsRowShown="0">
  <autoFilter ref="A2:S12" xr:uid="{F668CFF1-062A-4B58-AE59-E015E18343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E1EB7CEE-BC83-4799-B2D3-D70483E28CDD}" name="Country"/>
    <tableColumn id="2" xr3:uid="{9567388A-D067-4758-AB2A-69C9510C7CC4}" name="2005"/>
    <tableColumn id="3" xr3:uid="{D2A06DF1-CCD7-4FD7-9DB1-9F0709C03BBD}" name="2006"/>
    <tableColumn id="4" xr3:uid="{A3DB1548-059C-4E86-ADEB-93640C5AD26E}" name="2007"/>
    <tableColumn id="5" xr3:uid="{B304E0A7-7DB1-456E-9955-74E4BE523D34}" name="2008"/>
    <tableColumn id="6" xr3:uid="{E3167706-018D-42D5-AA5B-99698210B21B}" name="2009"/>
    <tableColumn id="7" xr3:uid="{5890756B-1453-44F7-8674-2E1E810538D6}" name="2010"/>
    <tableColumn id="8" xr3:uid="{34ABDCD8-4349-45CE-BE6B-12815A8F289F}" name="2011"/>
    <tableColumn id="9" xr3:uid="{5FCEC832-722A-4253-8156-153346A3EB20}" name="2012"/>
    <tableColumn id="10" xr3:uid="{3C5F9D75-F999-470D-9887-F1B181BE7548}" name="2013"/>
    <tableColumn id="11" xr3:uid="{07D596B5-72A2-4EC6-A824-2466B9D8849F}" name="2014"/>
    <tableColumn id="12" xr3:uid="{2B224F07-0616-427E-8070-7163DAAC823C}" name="2015"/>
    <tableColumn id="13" xr3:uid="{7B5D673C-25D2-467F-9540-844E3A8B7A54}" name="2016"/>
    <tableColumn id="14" xr3:uid="{FED6B663-6098-4AA7-9432-94060B3B42A5}" name="2017"/>
    <tableColumn id="15" xr3:uid="{C2590EA0-1336-4B9C-88E5-A8414035943A}" name="2018"/>
    <tableColumn id="16" xr3:uid="{3B863214-64D6-485D-9079-6489AC405773}" name="2019"/>
    <tableColumn id="17" xr3:uid="{A08A46DE-B406-4463-903F-B16EB6AB76E0}" name="2020"/>
    <tableColumn id="18" xr3:uid="{25F449D3-FA5F-4D89-8B2B-F674D4E1BC5A}" name="2021"/>
    <tableColumn id="19" xr3:uid="{AE2B6AF8-F5D4-450B-ADF8-45349345602C}" name="20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03B437-B709-40CB-B270-BE3F615B9CE4}" name="Table14" displayName="Table14" ref="A16:U26" totalsRowShown="0">
  <autoFilter ref="A16:U26" xr:uid="{0E7EEE43-43FD-49EA-B327-E21EF119C5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ADC729B9-DC7A-4BC9-81A1-824632D95941}" name="Country"/>
    <tableColumn id="2" xr3:uid="{EA924F73-54CD-44F4-A019-F72283879800}" name="2005"/>
    <tableColumn id="3" xr3:uid="{FF43F81D-52AE-4DE3-942C-4271639E2F2B}" name="2006"/>
    <tableColumn id="4" xr3:uid="{0EC49003-FDD1-4CBA-883A-6321E1C003D0}" name="2007"/>
    <tableColumn id="5" xr3:uid="{79F4EF8E-A7AA-4CA3-823C-F9A56833DF28}" name="2008"/>
    <tableColumn id="6" xr3:uid="{A21A1B87-C51D-46E2-B907-2A83EC1FBEC7}" name="2009"/>
    <tableColumn id="7" xr3:uid="{38DB043A-DC9C-49E3-84C0-89E06BD80F2B}" name="2010"/>
    <tableColumn id="8" xr3:uid="{FD53CAA2-C0CA-4BFC-B91F-A1C491C7F58F}" name="2011"/>
    <tableColumn id="9" xr3:uid="{DB513B91-0FC4-4BF9-AB17-9148D19FA3B6}" name="2012"/>
    <tableColumn id="10" xr3:uid="{FEE1F4D7-7181-4FA1-903B-E96A357E0AD5}" name="2013"/>
    <tableColumn id="11" xr3:uid="{9600AD4E-297C-448C-82E4-174275A25E6C}" name="2014"/>
    <tableColumn id="12" xr3:uid="{5B891D04-174D-400C-B529-CDC42AEBB0BF}" name="2015"/>
    <tableColumn id="13" xr3:uid="{BEBA3A9D-8372-4E46-9120-F37179F8FF39}" name="2016"/>
    <tableColumn id="14" xr3:uid="{BCAD352E-B395-477A-8FB3-A279F86CF427}" name="2017"/>
    <tableColumn id="15" xr3:uid="{8B09CC01-725E-4275-AEBA-8C3FFFE106FE}" name="2018"/>
    <tableColumn id="16" xr3:uid="{71A50738-13A0-4226-AC31-B778A6534155}" name="2019"/>
    <tableColumn id="17" xr3:uid="{13664785-42B4-40CF-B9C1-038CABB6FAA5}" name="2020"/>
    <tableColumn id="18" xr3:uid="{1411DBCC-4105-4983-8E25-D2879A9FD36C}" name="2021"/>
    <tableColumn id="19" xr3:uid="{E9C1DA5A-B4E0-4026-A5DF-E0CF00A1E5B5}" name="2022"/>
    <tableColumn id="20" xr3:uid="{149CAA38-725E-4704-85BF-E12ABF6C4010}" name="2023"/>
    <tableColumn id="21" xr3:uid="{D453734F-ACD8-4E5F-BA5E-52F5D39F3B05}" name="2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955A-76DE-44BB-9FAD-3A40020D2C47}">
  <sheetPr>
    <tabColor rgb="FFFFFF00"/>
  </sheetPr>
  <dimension ref="A1:K264"/>
  <sheetViews>
    <sheetView zoomScale="90" zoomScaleNormal="90" workbookViewId="0">
      <pane xSplit="2" ySplit="1" topLeftCell="C170" activePane="bottomRight" state="frozen"/>
      <selection pane="topRight"/>
      <selection pane="bottomLeft"/>
      <selection pane="bottomRight" activeCell="I162" sqref="I162"/>
    </sheetView>
  </sheetViews>
  <sheetFormatPr defaultRowHeight="15.75" customHeight="1" x14ac:dyDescent="0.25"/>
  <cols>
    <col min="1" max="1" width="19.28515625" style="25" customWidth="1"/>
    <col min="2" max="2" width="11.140625" style="8" customWidth="1"/>
    <col min="3" max="3" width="23.85546875" style="33" customWidth="1"/>
    <col min="4" max="4" width="12.7109375" style="27" customWidth="1"/>
    <col min="5" max="6" width="22.42578125" style="28" customWidth="1"/>
    <col min="7" max="8" width="18" style="29" customWidth="1"/>
    <col min="9" max="9" width="15" style="30" customWidth="1"/>
    <col min="10" max="10" width="13.85546875" style="31" customWidth="1"/>
    <col min="11" max="11" width="18.28515625" style="32" customWidth="1"/>
  </cols>
  <sheetData>
    <row r="1" spans="1:11" s="8" customFormat="1" ht="67.5" customHeight="1" x14ac:dyDescent="0.25">
      <c r="A1" s="1" t="s">
        <v>0</v>
      </c>
      <c r="B1" s="1" t="s">
        <v>1</v>
      </c>
      <c r="C1" s="2" t="s">
        <v>55</v>
      </c>
      <c r="D1" s="3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5" t="s">
        <v>8</v>
      </c>
      <c r="K1" s="7" t="s">
        <v>9</v>
      </c>
    </row>
    <row r="2" spans="1:11" x14ac:dyDescent="0.25">
      <c r="A2" s="9" t="s">
        <v>10</v>
      </c>
      <c r="B2" s="1">
        <v>2005</v>
      </c>
      <c r="C2" s="10">
        <v>287658979</v>
      </c>
      <c r="D2" s="11">
        <v>3900</v>
      </c>
      <c r="E2" s="12">
        <v>10547202612.429548</v>
      </c>
      <c r="F2" s="12">
        <v>2285961149904.2568</v>
      </c>
      <c r="G2" s="13">
        <v>95.673180000000002</v>
      </c>
      <c r="H2" s="13">
        <v>86.509317656014602</v>
      </c>
      <c r="I2" s="14">
        <v>0.20311608248806584</v>
      </c>
      <c r="J2" s="13">
        <v>3.3</v>
      </c>
      <c r="K2" s="15">
        <v>0</v>
      </c>
    </row>
    <row r="3" spans="1:11" x14ac:dyDescent="0.25">
      <c r="A3" s="9" t="s">
        <v>10</v>
      </c>
      <c r="B3" s="1">
        <v>2006</v>
      </c>
      <c r="C3" s="10">
        <v>308255043</v>
      </c>
      <c r="D3" s="11">
        <v>3900</v>
      </c>
      <c r="E3" s="12">
        <v>12644616446.191816</v>
      </c>
      <c r="F3" s="12">
        <v>2752118657221.6401</v>
      </c>
      <c r="G3" s="13">
        <v>95.819779999999994</v>
      </c>
      <c r="H3" s="13">
        <v>87.936230977228007</v>
      </c>
      <c r="I3" s="14">
        <v>0.19927831217523689</v>
      </c>
      <c r="J3" s="13">
        <v>3.3</v>
      </c>
      <c r="K3" s="15">
        <v>0</v>
      </c>
    </row>
    <row r="4" spans="1:11" x14ac:dyDescent="0.25">
      <c r="A4" s="9" t="s">
        <v>10</v>
      </c>
      <c r="B4" s="1">
        <v>2007</v>
      </c>
      <c r="C4" s="10">
        <v>359853890</v>
      </c>
      <c r="D4" s="11">
        <v>3900</v>
      </c>
      <c r="E4" s="12">
        <v>13432029495.678463</v>
      </c>
      <c r="F4" s="12">
        <v>3550327803024.6865</v>
      </c>
      <c r="G4" s="13">
        <v>96.745509999999996</v>
      </c>
      <c r="H4" s="13">
        <v>92.171912848883395</v>
      </c>
      <c r="I4" s="14">
        <v>0.19810650387625686</v>
      </c>
      <c r="J4" s="13">
        <v>3.6</v>
      </c>
      <c r="K4" s="15">
        <v>0</v>
      </c>
    </row>
    <row r="5" spans="1:11" x14ac:dyDescent="0.25">
      <c r="A5" s="9" t="s">
        <v>10</v>
      </c>
      <c r="B5" s="1">
        <v>2008</v>
      </c>
      <c r="C5" s="10">
        <v>217672566</v>
      </c>
      <c r="D5" s="11">
        <v>3900</v>
      </c>
      <c r="E5" s="12">
        <v>15926456491.517796</v>
      </c>
      <c r="F5" s="12">
        <v>4594336785752.0635</v>
      </c>
      <c r="G5" s="13">
        <v>98.763530000000003</v>
      </c>
      <c r="H5" s="13">
        <v>97.633333989666298</v>
      </c>
      <c r="I5" s="14">
        <v>0.20394834204605064</v>
      </c>
      <c r="J5" s="13">
        <v>2.5</v>
      </c>
      <c r="K5" s="15">
        <v>0</v>
      </c>
    </row>
    <row r="6" spans="1:11" x14ac:dyDescent="0.25">
      <c r="A6" s="9" t="s">
        <v>10</v>
      </c>
      <c r="B6" s="1">
        <v>2009</v>
      </c>
      <c r="C6" s="10">
        <v>429781947</v>
      </c>
      <c r="D6" s="11">
        <v>3900</v>
      </c>
      <c r="E6" s="12">
        <v>11912904529.072184</v>
      </c>
      <c r="F6" s="12">
        <v>5101691124358.4053</v>
      </c>
      <c r="G6" s="13">
        <v>99.784890000000004</v>
      </c>
      <c r="H6" s="13">
        <v>96.922396038956094</v>
      </c>
      <c r="I6" s="14">
        <v>0.21292353770838426</v>
      </c>
      <c r="J6" s="13">
        <v>2.5</v>
      </c>
      <c r="K6" s="15">
        <v>0</v>
      </c>
    </row>
    <row r="7" spans="1:11" x14ac:dyDescent="0.25">
      <c r="A7" s="9" t="s">
        <v>10</v>
      </c>
      <c r="B7" s="1">
        <v>2010</v>
      </c>
      <c r="C7" s="10">
        <v>784392930</v>
      </c>
      <c r="D7" s="11">
        <v>3900</v>
      </c>
      <c r="E7" s="12">
        <v>13707121031.255238</v>
      </c>
      <c r="F7" s="12">
        <v>6087191746738.5713</v>
      </c>
      <c r="G7" s="13">
        <v>100.0116</v>
      </c>
      <c r="H7" s="13">
        <v>100</v>
      </c>
      <c r="I7" s="14">
        <v>0.20139664582279126</v>
      </c>
      <c r="J7" s="13">
        <v>2.5</v>
      </c>
      <c r="K7" s="15">
        <v>0</v>
      </c>
    </row>
    <row r="8" spans="1:11" x14ac:dyDescent="0.25">
      <c r="A8" s="9" t="s">
        <v>10</v>
      </c>
      <c r="B8" s="1">
        <v>2011</v>
      </c>
      <c r="C8" s="10">
        <v>858617947</v>
      </c>
      <c r="D8" s="11">
        <v>3900</v>
      </c>
      <c r="E8" s="12">
        <v>18524791070.680244</v>
      </c>
      <c r="F8" s="12">
        <v>7551545703518.1367</v>
      </c>
      <c r="G8" s="13">
        <v>100.1495</v>
      </c>
      <c r="H8" s="13">
        <v>105.4</v>
      </c>
      <c r="I8" s="14">
        <v>0.19467933901132395</v>
      </c>
      <c r="J8" s="13">
        <v>2.5</v>
      </c>
      <c r="K8" s="15">
        <v>0</v>
      </c>
    </row>
    <row r="9" spans="1:11" x14ac:dyDescent="0.25">
      <c r="A9" s="9" t="s">
        <v>10</v>
      </c>
      <c r="B9" s="1">
        <v>2012</v>
      </c>
      <c r="C9" s="10">
        <v>755005296</v>
      </c>
      <c r="D9" s="11">
        <v>3900</v>
      </c>
      <c r="E9" s="12">
        <v>19048443339.945675</v>
      </c>
      <c r="F9" s="12">
        <v>8532185381696.4346</v>
      </c>
      <c r="G9" s="13">
        <v>100.26139999999999</v>
      </c>
      <c r="H9" s="13">
        <v>108.2</v>
      </c>
      <c r="I9" s="14">
        <v>0.19795645299127132</v>
      </c>
      <c r="J9" s="13">
        <v>2.5</v>
      </c>
      <c r="K9" s="15">
        <v>0</v>
      </c>
    </row>
    <row r="10" spans="1:11" x14ac:dyDescent="0.25">
      <c r="A10" s="9" t="s">
        <v>10</v>
      </c>
      <c r="B10" s="1">
        <v>2013</v>
      </c>
      <c r="C10" s="10">
        <v>564338882</v>
      </c>
      <c r="D10" s="11">
        <v>3900</v>
      </c>
      <c r="E10" s="12">
        <v>18094148099.492233</v>
      </c>
      <c r="F10" s="12">
        <v>9570471111847.8164</v>
      </c>
      <c r="G10" s="13">
        <v>100.64570000000001</v>
      </c>
      <c r="H10" s="13">
        <v>111</v>
      </c>
      <c r="I10" s="14">
        <v>0.20193906861960403</v>
      </c>
      <c r="J10" s="13">
        <v>2.5</v>
      </c>
      <c r="K10" s="15">
        <v>0</v>
      </c>
    </row>
    <row r="11" spans="1:11" x14ac:dyDescent="0.25">
      <c r="A11" s="9" t="s">
        <v>10</v>
      </c>
      <c r="B11" s="1">
        <v>2014</v>
      </c>
      <c r="C11" s="10">
        <v>449994039</v>
      </c>
      <c r="D11" s="11">
        <v>3900</v>
      </c>
      <c r="E11" s="12">
        <v>17097797371.971764</v>
      </c>
      <c r="F11" s="12">
        <v>10475624944290.115</v>
      </c>
      <c r="G11" s="13">
        <v>100.4432</v>
      </c>
      <c r="H11" s="13">
        <v>113.2</v>
      </c>
      <c r="I11" s="14">
        <v>0.20624297479428857</v>
      </c>
      <c r="J11" s="13">
        <v>1.2</v>
      </c>
      <c r="K11" s="15">
        <v>0</v>
      </c>
    </row>
    <row r="12" spans="1:11" x14ac:dyDescent="0.25">
      <c r="A12" s="9" t="s">
        <v>10</v>
      </c>
      <c r="B12" s="1">
        <v>2015</v>
      </c>
      <c r="C12" s="10">
        <v>471887123</v>
      </c>
      <c r="D12" s="11">
        <v>3900</v>
      </c>
      <c r="E12" s="12">
        <v>12930296852.488197</v>
      </c>
      <c r="F12" s="12">
        <v>11061572618594.75</v>
      </c>
      <c r="G12" s="13">
        <v>99.978020000000001</v>
      </c>
      <c r="H12" s="13">
        <v>114.9</v>
      </c>
      <c r="I12" s="14">
        <v>0.22078094667028408</v>
      </c>
      <c r="J12" s="13">
        <v>1.2</v>
      </c>
      <c r="K12" s="15">
        <v>0</v>
      </c>
    </row>
    <row r="13" spans="1:11" x14ac:dyDescent="0.25">
      <c r="A13" s="9" t="s">
        <v>10</v>
      </c>
      <c r="B13" s="1">
        <v>2016</v>
      </c>
      <c r="C13" s="10">
        <v>573891100</v>
      </c>
      <c r="D13" s="11">
        <v>3900</v>
      </c>
      <c r="E13" s="12">
        <v>11400266055.323244</v>
      </c>
      <c r="F13" s="12">
        <v>11233313730288.52</v>
      </c>
      <c r="G13" s="13">
        <v>99.699389999999994</v>
      </c>
      <c r="H13" s="13">
        <v>102</v>
      </c>
      <c r="I13" s="14">
        <v>0.20789397035508009</v>
      </c>
      <c r="J13" s="13">
        <v>1.2</v>
      </c>
      <c r="K13" s="15">
        <v>0</v>
      </c>
    </row>
    <row r="14" spans="1:11" x14ac:dyDescent="0.25">
      <c r="A14" s="9" t="s">
        <v>10</v>
      </c>
      <c r="B14" s="1">
        <v>2017</v>
      </c>
      <c r="C14" s="10">
        <v>914203819</v>
      </c>
      <c r="D14" s="11">
        <v>3900</v>
      </c>
      <c r="E14" s="12">
        <v>12128168046.782692</v>
      </c>
      <c r="F14" s="12">
        <v>12310491333980.889</v>
      </c>
      <c r="G14" s="13">
        <v>98.442670000000007</v>
      </c>
      <c r="H14" s="13">
        <v>103.6</v>
      </c>
      <c r="I14" s="14">
        <v>0.20431146660303134</v>
      </c>
      <c r="J14" s="13">
        <v>0.3</v>
      </c>
      <c r="K14" s="15">
        <v>0</v>
      </c>
    </row>
    <row r="15" spans="1:11" x14ac:dyDescent="0.25">
      <c r="A15" s="9" t="s">
        <v>10</v>
      </c>
      <c r="B15" s="1">
        <v>2018</v>
      </c>
      <c r="C15" s="10">
        <v>1870728111</v>
      </c>
      <c r="D15" s="11">
        <v>3900</v>
      </c>
      <c r="E15" s="12">
        <v>13566908401.186434</v>
      </c>
      <c r="F15" s="12">
        <v>13894907857925.922</v>
      </c>
      <c r="G15" s="13">
        <v>99.346919999999997</v>
      </c>
      <c r="H15" s="13">
        <v>105.8</v>
      </c>
      <c r="I15" s="14">
        <v>0.20388864819397304</v>
      </c>
      <c r="J15" s="13">
        <v>0.3</v>
      </c>
      <c r="K15" s="15">
        <v>0</v>
      </c>
    </row>
    <row r="16" spans="1:11" x14ac:dyDescent="0.25">
      <c r="A16" s="9" t="s">
        <v>10</v>
      </c>
      <c r="B16" s="1">
        <v>2019</v>
      </c>
      <c r="C16" s="10">
        <v>1100823580</v>
      </c>
      <c r="D16" s="11">
        <v>3900</v>
      </c>
      <c r="E16" s="12">
        <v>13469235348.221069</v>
      </c>
      <c r="F16" s="12">
        <v>14279968506242.775</v>
      </c>
      <c r="G16" s="13">
        <v>99.063389999999998</v>
      </c>
      <c r="H16" s="13">
        <v>108.8</v>
      </c>
      <c r="I16" s="14">
        <v>0.19747285539808365</v>
      </c>
      <c r="J16" s="13">
        <v>0.3</v>
      </c>
      <c r="K16" s="15">
        <v>0</v>
      </c>
    </row>
    <row r="17" spans="1:11" x14ac:dyDescent="0.25">
      <c r="A17" s="9" t="s">
        <v>10</v>
      </c>
      <c r="B17" s="1">
        <v>2020</v>
      </c>
      <c r="C17" s="10">
        <v>1743903011</v>
      </c>
      <c r="D17" s="11">
        <v>3900</v>
      </c>
      <c r="E17" s="12">
        <v>12005799664.269123</v>
      </c>
      <c r="F17" s="12">
        <v>14687744162801.033</v>
      </c>
      <c r="G17" s="13">
        <v>100.98269999999999</v>
      </c>
      <c r="H17" s="13">
        <v>111.6</v>
      </c>
      <c r="I17" s="14">
        <v>0.19993478635457793</v>
      </c>
      <c r="J17" s="13">
        <v>0.3</v>
      </c>
      <c r="K17" s="15">
        <v>0</v>
      </c>
    </row>
    <row r="18" spans="1:11" x14ac:dyDescent="0.25">
      <c r="A18" s="9" t="s">
        <v>10</v>
      </c>
      <c r="B18" s="1">
        <v>2021</v>
      </c>
      <c r="C18" s="10">
        <v>2770653431</v>
      </c>
      <c r="D18" s="11">
        <v>3900</v>
      </c>
      <c r="E18" s="12">
        <v>14006496614.319468</v>
      </c>
      <c r="F18" s="12">
        <v>17820459508852.184</v>
      </c>
      <c r="G18" s="13">
        <v>102.736</v>
      </c>
      <c r="H18" s="13">
        <v>112.6</v>
      </c>
      <c r="I18" s="14">
        <v>0.20837527288317639</v>
      </c>
      <c r="J18" s="13">
        <v>0.3</v>
      </c>
      <c r="K18" s="15">
        <v>0</v>
      </c>
    </row>
    <row r="19" spans="1:11" x14ac:dyDescent="0.25">
      <c r="A19" s="9" t="s">
        <v>10</v>
      </c>
      <c r="B19" s="1">
        <v>2022</v>
      </c>
      <c r="C19" s="10">
        <v>3024520241</v>
      </c>
      <c r="D19" s="11">
        <v>3900</v>
      </c>
      <c r="E19" s="12">
        <v>16681536442.549797</v>
      </c>
      <c r="F19" s="12">
        <v>17963171479205.328</v>
      </c>
      <c r="G19" s="13">
        <v>106.5198</v>
      </c>
      <c r="H19" s="13">
        <v>114.8</v>
      </c>
      <c r="I19" s="14">
        <v>0.2046791803012423</v>
      </c>
      <c r="J19" s="16">
        <v>0.3</v>
      </c>
      <c r="K19" s="15">
        <v>0</v>
      </c>
    </row>
    <row r="20" spans="1:11" x14ac:dyDescent="0.25">
      <c r="A20" s="9" t="s">
        <v>10</v>
      </c>
      <c r="B20" s="1">
        <v>2023</v>
      </c>
      <c r="C20" s="10">
        <v>2829317000</v>
      </c>
      <c r="D20" s="11">
        <v>3900</v>
      </c>
      <c r="E20" s="12">
        <v>15095084686.165083</v>
      </c>
      <c r="F20" s="12">
        <v>18270356654533.215</v>
      </c>
      <c r="G20" s="13">
        <v>106.85</v>
      </c>
      <c r="H20" s="13">
        <v>132.22</v>
      </c>
      <c r="I20" s="14">
        <v>0.20907414045966299</v>
      </c>
      <c r="J20" s="13">
        <v>0.3</v>
      </c>
      <c r="K20" s="15">
        <v>0</v>
      </c>
    </row>
    <row r="21" spans="1:11" x14ac:dyDescent="0.25">
      <c r="A21" s="9" t="s">
        <v>10</v>
      </c>
      <c r="B21" s="1">
        <v>2024</v>
      </c>
      <c r="C21" s="10">
        <v>2810394000</v>
      </c>
      <c r="D21" s="11">
        <v>3900</v>
      </c>
      <c r="E21" s="12">
        <v>15463134387.20129</v>
      </c>
      <c r="F21" s="12">
        <v>18743803170827.164</v>
      </c>
      <c r="G21" s="13">
        <v>106.44</v>
      </c>
      <c r="H21" s="13">
        <v>132.51</v>
      </c>
      <c r="I21" s="14">
        <v>0.21144633743299501</v>
      </c>
      <c r="J21" s="13">
        <v>0.3</v>
      </c>
      <c r="K21" s="15">
        <v>0</v>
      </c>
    </row>
    <row r="22" spans="1:11" x14ac:dyDescent="0.25">
      <c r="A22" s="9" t="s">
        <v>11</v>
      </c>
      <c r="B22" s="1">
        <v>2005</v>
      </c>
      <c r="C22" s="10">
        <v>437760936</v>
      </c>
      <c r="D22" s="11">
        <v>3349</v>
      </c>
      <c r="E22" s="12">
        <v>8350531016.6575289</v>
      </c>
      <c r="F22" s="12">
        <v>2285961149904.2568</v>
      </c>
      <c r="G22" s="13">
        <v>68.926850000000002</v>
      </c>
      <c r="H22" s="13">
        <v>86.509317656014602</v>
      </c>
      <c r="I22" s="14">
        <v>499.43151655924106</v>
      </c>
      <c r="J22" s="13">
        <v>14.3</v>
      </c>
      <c r="K22" s="15">
        <v>0</v>
      </c>
    </row>
    <row r="23" spans="1:11" x14ac:dyDescent="0.25">
      <c r="A23" s="9" t="s">
        <v>11</v>
      </c>
      <c r="B23" s="1">
        <v>2006</v>
      </c>
      <c r="C23" s="10">
        <v>539375145</v>
      </c>
      <c r="D23" s="11">
        <v>3349</v>
      </c>
      <c r="E23" s="12">
        <v>10127916459.89827</v>
      </c>
      <c r="F23" s="12">
        <v>2752118657221.6401</v>
      </c>
      <c r="G23" s="13">
        <v>73.161270000000002</v>
      </c>
      <c r="H23" s="13">
        <v>87.936230977228007</v>
      </c>
      <c r="I23" s="14">
        <v>514.61487860841316</v>
      </c>
      <c r="J23" s="13">
        <v>14.3</v>
      </c>
      <c r="K23" s="15">
        <v>0</v>
      </c>
    </row>
    <row r="24" spans="1:11" x14ac:dyDescent="0.25">
      <c r="A24" s="9" t="s">
        <v>11</v>
      </c>
      <c r="B24" s="1">
        <v>2007</v>
      </c>
      <c r="C24" s="10">
        <v>638109535</v>
      </c>
      <c r="D24" s="11">
        <v>3349</v>
      </c>
      <c r="E24" s="12">
        <v>12174303999.081249</v>
      </c>
      <c r="F24" s="12">
        <v>3550327803024.6865</v>
      </c>
      <c r="G24" s="13">
        <v>78.772559999999999</v>
      </c>
      <c r="H24" s="13">
        <v>92.171912848883395</v>
      </c>
      <c r="I24" s="14">
        <v>533.17769811258779</v>
      </c>
      <c r="J24" s="13">
        <v>14.2</v>
      </c>
      <c r="K24" s="15">
        <v>0</v>
      </c>
    </row>
    <row r="25" spans="1:11" x14ac:dyDescent="0.25">
      <c r="A25" s="9" t="s">
        <v>11</v>
      </c>
      <c r="B25" s="1">
        <v>2008</v>
      </c>
      <c r="C25" s="10">
        <v>947853899</v>
      </c>
      <c r="D25" s="11">
        <v>3349</v>
      </c>
      <c r="E25" s="12">
        <v>12502901169.737713</v>
      </c>
      <c r="F25" s="12">
        <v>4594336785752.0635</v>
      </c>
      <c r="G25" s="13">
        <v>98.463369999999998</v>
      </c>
      <c r="H25" s="13">
        <v>97.633333989666298</v>
      </c>
      <c r="I25" s="14">
        <v>583.44624487281351</v>
      </c>
      <c r="J25" s="13">
        <v>14.2</v>
      </c>
      <c r="K25" s="15">
        <v>0</v>
      </c>
    </row>
    <row r="26" spans="1:11" x14ac:dyDescent="0.25">
      <c r="A26" s="9" t="s">
        <v>11</v>
      </c>
      <c r="B26" s="1">
        <v>2009</v>
      </c>
      <c r="C26" s="10">
        <v>897610681</v>
      </c>
      <c r="D26" s="11">
        <v>3349</v>
      </c>
      <c r="E26" s="12">
        <v>13808673288.069561</v>
      </c>
      <c r="F26" s="12">
        <v>5101691124358.4053</v>
      </c>
      <c r="G26" s="13">
        <v>97.810680000000005</v>
      </c>
      <c r="H26" s="13">
        <v>96.922396038956094</v>
      </c>
      <c r="I26" s="14">
        <v>605.92610696911584</v>
      </c>
      <c r="J26" s="13">
        <v>14.3</v>
      </c>
      <c r="K26" s="15">
        <v>0</v>
      </c>
    </row>
    <row r="27" spans="1:11" x14ac:dyDescent="0.25">
      <c r="A27" s="9" t="s">
        <v>11</v>
      </c>
      <c r="B27" s="1">
        <v>2010</v>
      </c>
      <c r="C27" s="10">
        <v>1249731734</v>
      </c>
      <c r="D27" s="11">
        <v>3349</v>
      </c>
      <c r="E27" s="12">
        <v>16032622023.826536</v>
      </c>
      <c r="F27" s="12">
        <v>6087191746738.5713</v>
      </c>
      <c r="G27" s="13">
        <v>101.72</v>
      </c>
      <c r="H27" s="13">
        <v>100</v>
      </c>
      <c r="I27" s="14">
        <v>618.13151721453232</v>
      </c>
      <c r="J27" s="13">
        <v>14.3</v>
      </c>
      <c r="K27" s="15">
        <v>0</v>
      </c>
    </row>
    <row r="28" spans="1:11" x14ac:dyDescent="0.25">
      <c r="A28" s="9" t="s">
        <v>11</v>
      </c>
      <c r="B28" s="1">
        <v>2011</v>
      </c>
      <c r="C28" s="10">
        <v>1892843103</v>
      </c>
      <c r="D28" s="11">
        <v>3349</v>
      </c>
      <c r="E28" s="12">
        <v>17826536699.801636</v>
      </c>
      <c r="F28" s="12">
        <v>7551545703518.1367</v>
      </c>
      <c r="G28" s="13">
        <v>107.2928</v>
      </c>
      <c r="H28" s="13">
        <v>105.4</v>
      </c>
      <c r="I28" s="14">
        <v>628.10868855991919</v>
      </c>
      <c r="J28" s="13">
        <v>10.9</v>
      </c>
      <c r="K28" s="15">
        <v>0</v>
      </c>
    </row>
    <row r="29" spans="1:11" x14ac:dyDescent="0.25">
      <c r="A29" s="9" t="s">
        <v>11</v>
      </c>
      <c r="B29" s="1">
        <v>2012</v>
      </c>
      <c r="C29" s="10">
        <v>2344600729</v>
      </c>
      <c r="D29" s="11">
        <v>3349</v>
      </c>
      <c r="E29" s="12">
        <v>19807135252.864857</v>
      </c>
      <c r="F29" s="12">
        <v>8532185381696.4346</v>
      </c>
      <c r="G29" s="13">
        <v>110.43940000000001</v>
      </c>
      <c r="H29" s="13">
        <v>108.2</v>
      </c>
      <c r="I29" s="14">
        <v>638.90800923184997</v>
      </c>
      <c r="J29" s="13">
        <v>10.9</v>
      </c>
      <c r="K29" s="15">
        <v>0</v>
      </c>
    </row>
    <row r="30" spans="1:11" x14ac:dyDescent="0.25">
      <c r="A30" s="9" t="s">
        <v>11</v>
      </c>
      <c r="B30" s="1">
        <v>2013</v>
      </c>
      <c r="C30" s="10">
        <v>3282843213</v>
      </c>
      <c r="D30" s="11">
        <v>3349</v>
      </c>
      <c r="E30" s="12">
        <v>22041463967.900928</v>
      </c>
      <c r="F30" s="12">
        <v>9570471111847.8164</v>
      </c>
      <c r="G30" s="13">
        <v>113.6891</v>
      </c>
      <c r="H30" s="13">
        <v>111</v>
      </c>
      <c r="I30" s="14">
        <v>650.00114191776106</v>
      </c>
      <c r="J30" s="13">
        <v>10.9</v>
      </c>
      <c r="K30" s="15">
        <v>0</v>
      </c>
    </row>
    <row r="31" spans="1:11" x14ac:dyDescent="0.25">
      <c r="A31" s="9" t="s">
        <v>11</v>
      </c>
      <c r="B31" s="1">
        <v>2014</v>
      </c>
      <c r="C31" s="10">
        <v>4066682311</v>
      </c>
      <c r="D31" s="11">
        <v>3349</v>
      </c>
      <c r="E31" s="12">
        <v>24174170369.073811</v>
      </c>
      <c r="F31" s="12">
        <v>10475624944290.115</v>
      </c>
      <c r="G31" s="13">
        <v>118.07210000000001</v>
      </c>
      <c r="H31" s="13">
        <v>113.2</v>
      </c>
      <c r="I31" s="14">
        <v>657.20571554956166</v>
      </c>
      <c r="J31" s="13">
        <v>11.2</v>
      </c>
      <c r="K31" s="15">
        <v>0</v>
      </c>
    </row>
    <row r="32" spans="1:11" x14ac:dyDescent="0.25">
      <c r="A32" s="9" t="s">
        <v>11</v>
      </c>
      <c r="B32" s="1">
        <v>2015</v>
      </c>
      <c r="C32" s="10">
        <v>4345183188</v>
      </c>
      <c r="D32" s="11">
        <v>3349</v>
      </c>
      <c r="E32" s="12">
        <v>26556545153.3573</v>
      </c>
      <c r="F32" s="12">
        <v>11061572618594.75</v>
      </c>
      <c r="G32" s="13">
        <v>119.51430000000001</v>
      </c>
      <c r="H32" s="13">
        <v>114.9</v>
      </c>
      <c r="I32" s="14">
        <v>653.19267743453224</v>
      </c>
      <c r="J32" s="13">
        <v>11.2</v>
      </c>
      <c r="K32" s="15">
        <v>0</v>
      </c>
    </row>
    <row r="33" spans="1:11" x14ac:dyDescent="0.25">
      <c r="A33" s="9" t="s">
        <v>11</v>
      </c>
      <c r="B33" s="1">
        <v>2016</v>
      </c>
      <c r="C33" s="10">
        <v>4841479559</v>
      </c>
      <c r="D33" s="11">
        <v>3349</v>
      </c>
      <c r="E33" s="12">
        <v>29355665909.790527</v>
      </c>
      <c r="F33" s="12">
        <v>11233313730288.52</v>
      </c>
      <c r="G33" s="13">
        <v>121.044857661075</v>
      </c>
      <c r="H33" s="13">
        <v>102</v>
      </c>
      <c r="I33" s="14">
        <v>610.83725208108876</v>
      </c>
      <c r="J33" s="13">
        <v>11.2</v>
      </c>
      <c r="K33" s="15">
        <v>0</v>
      </c>
    </row>
    <row r="34" spans="1:11" x14ac:dyDescent="0.25">
      <c r="A34" s="9" t="s">
        <v>11</v>
      </c>
      <c r="B34" s="1">
        <v>2017</v>
      </c>
      <c r="C34" s="10">
        <v>5825344298</v>
      </c>
      <c r="D34" s="11">
        <v>3349</v>
      </c>
      <c r="E34" s="12">
        <v>33145892168.895828</v>
      </c>
      <c r="F34" s="12">
        <v>12310491333980.889</v>
      </c>
      <c r="G34" s="13">
        <v>124.57045324546399</v>
      </c>
      <c r="H34" s="13">
        <v>103.6</v>
      </c>
      <c r="I34" s="14">
        <v>599.30859073560316</v>
      </c>
      <c r="J34" s="13">
        <v>11.1</v>
      </c>
      <c r="K34" s="15">
        <v>0</v>
      </c>
    </row>
    <row r="35" spans="1:11" x14ac:dyDescent="0.25">
      <c r="A35" s="9" t="s">
        <v>11</v>
      </c>
      <c r="B35" s="1">
        <v>2018</v>
      </c>
      <c r="C35" s="10">
        <v>7411492119</v>
      </c>
      <c r="D35" s="11">
        <v>3349</v>
      </c>
      <c r="E35" s="12">
        <v>36685356407.720619</v>
      </c>
      <c r="F35" s="12">
        <v>13894907857925.922</v>
      </c>
      <c r="G35" s="13">
        <v>127.633746767246</v>
      </c>
      <c r="H35" s="13">
        <v>105.8</v>
      </c>
      <c r="I35" s="14">
        <v>612.33269679378338</v>
      </c>
      <c r="J35" s="13">
        <v>11.1</v>
      </c>
      <c r="K35" s="15">
        <v>0</v>
      </c>
    </row>
    <row r="36" spans="1:11" x14ac:dyDescent="0.25">
      <c r="A36" s="9" t="s">
        <v>11</v>
      </c>
      <c r="B36" s="1">
        <v>2019</v>
      </c>
      <c r="C36" s="10">
        <v>9444568093</v>
      </c>
      <c r="D36" s="11">
        <v>3349</v>
      </c>
      <c r="E36" s="12">
        <v>34818073901.485085</v>
      </c>
      <c r="F36" s="12">
        <v>14279968506242.775</v>
      </c>
      <c r="G36" s="13">
        <v>130.11312803414299</v>
      </c>
      <c r="H36" s="13">
        <v>108.8</v>
      </c>
      <c r="I36" s="14">
        <v>587.8579374624826</v>
      </c>
      <c r="J36" s="13">
        <v>11.1</v>
      </c>
      <c r="K36" s="15">
        <v>0</v>
      </c>
    </row>
    <row r="37" spans="1:11" x14ac:dyDescent="0.25">
      <c r="A37" s="9" t="s">
        <v>11</v>
      </c>
      <c r="B37" s="1">
        <v>2020</v>
      </c>
      <c r="C37" s="10">
        <v>9578553693</v>
      </c>
      <c r="D37" s="11">
        <v>3349</v>
      </c>
      <c r="E37" s="12">
        <v>36790163687.442055</v>
      </c>
      <c r="F37" s="12">
        <v>14687744162801.033</v>
      </c>
      <c r="G37" s="13">
        <v>133.93883801766799</v>
      </c>
      <c r="H37" s="13">
        <v>111.6</v>
      </c>
      <c r="I37" s="14">
        <v>593.09103744567301</v>
      </c>
      <c r="J37" s="13">
        <v>10.3</v>
      </c>
      <c r="K37" s="15">
        <v>0</v>
      </c>
    </row>
    <row r="38" spans="1:11" x14ac:dyDescent="0.25">
      <c r="A38" s="9" t="s">
        <v>11</v>
      </c>
      <c r="B38" s="1">
        <v>2021</v>
      </c>
      <c r="C38" s="10">
        <v>13679440555</v>
      </c>
      <c r="D38" s="11">
        <v>3349</v>
      </c>
      <c r="E38" s="12">
        <v>39994532959.607384</v>
      </c>
      <c r="F38" s="12">
        <v>17820459508852.184</v>
      </c>
      <c r="G38" s="13">
        <v>137.85083623812599</v>
      </c>
      <c r="H38" s="13">
        <v>112.6</v>
      </c>
      <c r="I38" s="14">
        <v>635.56188084202824</v>
      </c>
      <c r="J38" s="13">
        <v>10.199999999999999</v>
      </c>
      <c r="K38" s="15">
        <v>0</v>
      </c>
    </row>
    <row r="39" spans="1:11" x14ac:dyDescent="0.25">
      <c r="A39" s="9" t="s">
        <v>11</v>
      </c>
      <c r="B39" s="1">
        <v>2022</v>
      </c>
      <c r="C39" s="10">
        <v>16067450597</v>
      </c>
      <c r="D39" s="11">
        <v>3349</v>
      </c>
      <c r="E39" s="12">
        <v>29504829319.316875</v>
      </c>
      <c r="F39" s="12">
        <v>17963171479205.328</v>
      </c>
      <c r="G39" s="13">
        <v>145.21717502578801</v>
      </c>
      <c r="H39" s="13">
        <v>114.8</v>
      </c>
      <c r="I39" s="14">
        <v>608.86768524366119</v>
      </c>
      <c r="J39" s="13">
        <v>10.199999999999999</v>
      </c>
      <c r="K39" s="15">
        <v>0</v>
      </c>
    </row>
    <row r="40" spans="1:11" x14ac:dyDescent="0.25">
      <c r="A40" s="9" t="s">
        <v>11</v>
      </c>
      <c r="B40" s="39">
        <v>2023</v>
      </c>
      <c r="C40" s="10">
        <v>15031980008</v>
      </c>
      <c r="D40" s="11">
        <v>3349</v>
      </c>
      <c r="E40" s="12">
        <v>42335646895.798386</v>
      </c>
      <c r="F40" s="12">
        <v>18270356654533.215</v>
      </c>
      <c r="G40" s="13">
        <v>148.30662390550799</v>
      </c>
      <c r="H40" s="13">
        <v>132.22</v>
      </c>
      <c r="I40" s="14">
        <v>628.28351564177603</v>
      </c>
      <c r="J40" s="13">
        <v>9.75</v>
      </c>
      <c r="K40" s="15">
        <v>0</v>
      </c>
    </row>
    <row r="41" spans="1:11" x14ac:dyDescent="0.25">
      <c r="A41" s="9" t="s">
        <v>11</v>
      </c>
      <c r="B41" s="39">
        <v>2024</v>
      </c>
      <c r="C41" s="10">
        <v>17847730011</v>
      </c>
      <c r="D41" s="11">
        <v>3349</v>
      </c>
      <c r="E41" s="12">
        <v>46352647034.777466</v>
      </c>
      <c r="F41" s="12">
        <v>18743803170827.164</v>
      </c>
      <c r="G41" s="13">
        <v>148.30662390550799</v>
      </c>
      <c r="H41" s="13">
        <v>132.51</v>
      </c>
      <c r="I41" s="14">
        <v>636.17183954076995</v>
      </c>
      <c r="J41" s="13">
        <v>9.4700000000000006</v>
      </c>
      <c r="K41" s="15">
        <v>0</v>
      </c>
    </row>
    <row r="42" spans="1:11" x14ac:dyDescent="0.25">
      <c r="A42" s="9" t="s">
        <v>12</v>
      </c>
      <c r="B42" s="1">
        <v>2005</v>
      </c>
      <c r="C42" s="10">
        <v>12505216316</v>
      </c>
      <c r="D42" s="11">
        <v>5219</v>
      </c>
      <c r="E42" s="12">
        <v>285868619196.08478</v>
      </c>
      <c r="F42" s="12">
        <v>2285961149904.2568</v>
      </c>
      <c r="G42" s="13">
        <v>70.416790000000006</v>
      </c>
      <c r="H42" s="13">
        <v>86.509317656014602</v>
      </c>
      <c r="I42" s="14">
        <v>1184.3259250822252</v>
      </c>
      <c r="J42" s="13">
        <v>6.9</v>
      </c>
      <c r="K42" s="15">
        <v>0</v>
      </c>
    </row>
    <row r="43" spans="1:11" x14ac:dyDescent="0.25">
      <c r="A43" s="9" t="s">
        <v>12</v>
      </c>
      <c r="B43" s="1">
        <v>2006</v>
      </c>
      <c r="C43" s="10">
        <v>14980466447</v>
      </c>
      <c r="D43" s="11">
        <v>5219</v>
      </c>
      <c r="E43" s="12">
        <v>364570515618.35693</v>
      </c>
      <c r="F43" s="12">
        <v>2752118657221.6401</v>
      </c>
      <c r="G43" s="13">
        <v>79.641999999999996</v>
      </c>
      <c r="H43" s="13">
        <v>87.936230977228007</v>
      </c>
      <c r="I43" s="14">
        <v>1148.7286016091391</v>
      </c>
      <c r="J43" s="13">
        <v>6.9</v>
      </c>
      <c r="K43" s="15">
        <v>0</v>
      </c>
    </row>
    <row r="44" spans="1:11" x14ac:dyDescent="0.25">
      <c r="A44" s="9" t="s">
        <v>12</v>
      </c>
      <c r="B44" s="1">
        <v>2007</v>
      </c>
      <c r="C44" s="10">
        <v>18233389846</v>
      </c>
      <c r="D44" s="11">
        <v>5219</v>
      </c>
      <c r="E44" s="12">
        <v>432216737774.86053</v>
      </c>
      <c r="F44" s="12">
        <v>3550327803024.6865</v>
      </c>
      <c r="G44" s="13">
        <v>84.675520000000006</v>
      </c>
      <c r="H44" s="13">
        <v>92.171912848883395</v>
      </c>
      <c r="I44" s="14">
        <v>1201.5722574961067</v>
      </c>
      <c r="J44" s="13">
        <v>6.9</v>
      </c>
      <c r="K44" s="15">
        <v>0</v>
      </c>
    </row>
    <row r="45" spans="1:11" x14ac:dyDescent="0.25">
      <c r="A45" s="9" t="s">
        <v>12</v>
      </c>
      <c r="B45" s="1">
        <v>2008</v>
      </c>
      <c r="C45" s="10">
        <v>26885704842</v>
      </c>
      <c r="D45" s="11">
        <v>5219</v>
      </c>
      <c r="E45" s="12">
        <v>510228634992.25824</v>
      </c>
      <c r="F45" s="12">
        <v>4594336785752.0635</v>
      </c>
      <c r="G45" s="13">
        <v>93.031369999999995</v>
      </c>
      <c r="H45" s="13">
        <v>97.633333989666298</v>
      </c>
      <c r="I45" s="14">
        <v>1395.804295939286</v>
      </c>
      <c r="J45" s="13">
        <v>6.9</v>
      </c>
      <c r="K45" s="15">
        <v>0</v>
      </c>
    </row>
    <row r="46" spans="1:11" x14ac:dyDescent="0.25">
      <c r="A46" s="9" t="s">
        <v>12</v>
      </c>
      <c r="B46" s="1">
        <v>2009</v>
      </c>
      <c r="C46" s="10">
        <v>25501497767</v>
      </c>
      <c r="D46" s="11">
        <v>5219</v>
      </c>
      <c r="E46" s="12">
        <v>539580085612.40143</v>
      </c>
      <c r="F46" s="12">
        <v>5101691124358.4053</v>
      </c>
      <c r="G46" s="13">
        <v>97.499499999999998</v>
      </c>
      <c r="H46" s="13">
        <v>96.922396038956094</v>
      </c>
      <c r="I46" s="14">
        <v>1520.9053908103106</v>
      </c>
      <c r="J46" s="13">
        <v>6.8</v>
      </c>
      <c r="K46" s="15">
        <v>0</v>
      </c>
    </row>
    <row r="47" spans="1:11" x14ac:dyDescent="0.25">
      <c r="A47" s="9" t="s">
        <v>12</v>
      </c>
      <c r="B47" s="1">
        <v>2010</v>
      </c>
      <c r="C47" s="10">
        <v>36116829347</v>
      </c>
      <c r="D47" s="11">
        <v>5219</v>
      </c>
      <c r="E47" s="12">
        <v>755094157621.93555</v>
      </c>
      <c r="F47" s="12">
        <v>6087191746738.5713</v>
      </c>
      <c r="G47" s="13">
        <v>102.51179999999999</v>
      </c>
      <c r="H47" s="13">
        <v>100</v>
      </c>
      <c r="I47" s="14">
        <v>1342.698982091438</v>
      </c>
      <c r="J47" s="13">
        <v>6.8</v>
      </c>
      <c r="K47" s="15">
        <v>1</v>
      </c>
    </row>
    <row r="48" spans="1:11" x14ac:dyDescent="0.25">
      <c r="A48" s="9" t="s">
        <v>12</v>
      </c>
      <c r="B48" s="1">
        <v>2011</v>
      </c>
      <c r="C48" s="10">
        <v>49153192292</v>
      </c>
      <c r="D48" s="11">
        <v>5219</v>
      </c>
      <c r="E48" s="12">
        <v>892969104563.17126</v>
      </c>
      <c r="F48" s="12">
        <v>7551545703518.1367</v>
      </c>
      <c r="G48" s="13">
        <v>107.9893</v>
      </c>
      <c r="H48" s="13">
        <v>105.4</v>
      </c>
      <c r="I48" s="14">
        <v>1357.3451716403054</v>
      </c>
      <c r="J48" s="13">
        <v>7</v>
      </c>
      <c r="K48" s="15">
        <v>0</v>
      </c>
    </row>
    <row r="49" spans="1:11" x14ac:dyDescent="0.25">
      <c r="A49" s="9" t="s">
        <v>12</v>
      </c>
      <c r="B49" s="1">
        <v>2012</v>
      </c>
      <c r="C49" s="10">
        <v>51046574940</v>
      </c>
      <c r="D49" s="11">
        <v>5219</v>
      </c>
      <c r="E49" s="12">
        <v>917869913332.64856</v>
      </c>
      <c r="F49" s="12">
        <v>8532185381696.4346</v>
      </c>
      <c r="G49" s="13">
        <v>112.2886</v>
      </c>
      <c r="H49" s="13">
        <v>108.2</v>
      </c>
      <c r="I49" s="14">
        <v>1487.0301399138707</v>
      </c>
      <c r="J49" s="13">
        <v>7</v>
      </c>
      <c r="K49" s="15">
        <v>0</v>
      </c>
    </row>
    <row r="50" spans="1:11" x14ac:dyDescent="0.25">
      <c r="A50" s="9" t="s">
        <v>12</v>
      </c>
      <c r="B50" s="1">
        <v>2013</v>
      </c>
      <c r="C50" s="10">
        <v>52450949694</v>
      </c>
      <c r="D50" s="11">
        <v>5219</v>
      </c>
      <c r="E50" s="12">
        <v>912524136718.01819</v>
      </c>
      <c r="F50" s="12">
        <v>9570471111847.8164</v>
      </c>
      <c r="G50" s="13">
        <v>119.48739999999999</v>
      </c>
      <c r="H50" s="13">
        <v>111</v>
      </c>
      <c r="I50" s="14">
        <v>1688.4519078467338</v>
      </c>
      <c r="J50" s="13">
        <v>6.8</v>
      </c>
      <c r="K50" s="15">
        <v>1</v>
      </c>
    </row>
    <row r="51" spans="1:11" x14ac:dyDescent="0.25">
      <c r="A51" s="9" t="s">
        <v>12</v>
      </c>
      <c r="B51" s="1">
        <v>2014</v>
      </c>
      <c r="C51" s="10">
        <v>48230554520</v>
      </c>
      <c r="D51" s="11">
        <v>5219</v>
      </c>
      <c r="E51" s="12">
        <v>890814755533.53687</v>
      </c>
      <c r="F51" s="12">
        <v>10475624944290.115</v>
      </c>
      <c r="G51" s="13">
        <v>127.1315</v>
      </c>
      <c r="H51" s="13">
        <v>113.2</v>
      </c>
      <c r="I51" s="14">
        <v>1931.3646266573751</v>
      </c>
      <c r="J51" s="13">
        <v>6.9</v>
      </c>
      <c r="K51" s="15">
        <v>0</v>
      </c>
    </row>
    <row r="52" spans="1:11" x14ac:dyDescent="0.25">
      <c r="A52" s="9" t="s">
        <v>12</v>
      </c>
      <c r="B52" s="1">
        <v>2015</v>
      </c>
      <c r="C52" s="10">
        <v>44456216940</v>
      </c>
      <c r="D52" s="11">
        <v>5219</v>
      </c>
      <c r="E52" s="12">
        <v>860854232686.21387</v>
      </c>
      <c r="F52" s="12">
        <v>11061572618594.75</v>
      </c>
      <c r="G52" s="13">
        <v>135.2184</v>
      </c>
      <c r="H52" s="13">
        <v>114.9</v>
      </c>
      <c r="I52" s="14">
        <v>2150.0501469544974</v>
      </c>
      <c r="J52" s="13">
        <v>6.9</v>
      </c>
      <c r="K52" s="15">
        <v>0</v>
      </c>
    </row>
    <row r="53" spans="1:11" x14ac:dyDescent="0.25">
      <c r="A53" s="9" t="s">
        <v>12</v>
      </c>
      <c r="B53" s="1">
        <v>2016</v>
      </c>
      <c r="C53" s="10">
        <v>54091630846</v>
      </c>
      <c r="D53" s="11">
        <v>5219</v>
      </c>
      <c r="E53" s="12">
        <v>931877364037.69751</v>
      </c>
      <c r="F53" s="12">
        <v>11233313730288.52</v>
      </c>
      <c r="G53" s="13">
        <v>136.965666608221</v>
      </c>
      <c r="H53" s="13">
        <v>102</v>
      </c>
      <c r="I53" s="14">
        <v>2002.9153747905896</v>
      </c>
      <c r="J53" s="13">
        <v>7.9</v>
      </c>
      <c r="K53" s="15">
        <v>0</v>
      </c>
    </row>
    <row r="54" spans="1:11" x14ac:dyDescent="0.25">
      <c r="A54" s="9" t="s">
        <v>12</v>
      </c>
      <c r="B54" s="1">
        <v>2017</v>
      </c>
      <c r="C54" s="10">
        <v>63391320651</v>
      </c>
      <c r="D54" s="11">
        <v>5219</v>
      </c>
      <c r="E54" s="12">
        <v>1015618744159.7339</v>
      </c>
      <c r="F54" s="12">
        <v>12310491333980.889</v>
      </c>
      <c r="G54" s="13">
        <v>142.18241227391599</v>
      </c>
      <c r="H54" s="13">
        <v>103.6</v>
      </c>
      <c r="I54" s="14">
        <v>1979.7778892655606</v>
      </c>
      <c r="J54" s="13">
        <v>8.1</v>
      </c>
      <c r="K54" s="15">
        <v>0</v>
      </c>
    </row>
    <row r="55" spans="1:11" x14ac:dyDescent="0.25">
      <c r="A55" s="9" t="s">
        <v>12</v>
      </c>
      <c r="B55" s="1">
        <v>2018</v>
      </c>
      <c r="C55" s="10">
        <v>77463697299</v>
      </c>
      <c r="D55" s="11">
        <v>5219</v>
      </c>
      <c r="E55" s="12">
        <v>1042271532988.6317</v>
      </c>
      <c r="F55" s="12">
        <v>13894907857925.922</v>
      </c>
      <c r="G55" s="13">
        <v>146.72989836052699</v>
      </c>
      <c r="H55" s="13">
        <v>105.8</v>
      </c>
      <c r="I55" s="14">
        <v>2151.9091481143646</v>
      </c>
      <c r="J55" s="13">
        <v>8.1</v>
      </c>
      <c r="K55" s="15">
        <v>0</v>
      </c>
    </row>
    <row r="56" spans="1:11" x14ac:dyDescent="0.25">
      <c r="A56" s="9" t="s">
        <v>12</v>
      </c>
      <c r="B56" s="1">
        <v>2019</v>
      </c>
      <c r="C56" s="10">
        <v>79678225692</v>
      </c>
      <c r="D56" s="11">
        <v>5219</v>
      </c>
      <c r="E56" s="12">
        <v>1119099871350.1992</v>
      </c>
      <c r="F56" s="12">
        <v>14279968506242.775</v>
      </c>
      <c r="G56" s="13">
        <v>151.17667507135201</v>
      </c>
      <c r="H56" s="13">
        <v>108.8</v>
      </c>
      <c r="I56" s="14">
        <v>2047.8985088717257</v>
      </c>
      <c r="J56" s="13">
        <v>8.1</v>
      </c>
      <c r="K56" s="15">
        <v>0</v>
      </c>
    </row>
    <row r="57" spans="1:11" x14ac:dyDescent="0.25">
      <c r="A57" s="9" t="s">
        <v>12</v>
      </c>
      <c r="B57" s="1">
        <v>2020</v>
      </c>
      <c r="C57" s="10">
        <v>78488375169</v>
      </c>
      <c r="D57" s="11">
        <v>5219</v>
      </c>
      <c r="E57" s="12">
        <v>1059054842698.4821</v>
      </c>
      <c r="F57" s="12">
        <v>14687744162801.033</v>
      </c>
      <c r="G57" s="13">
        <v>154.08073063150599</v>
      </c>
      <c r="H57" s="13">
        <v>111.6</v>
      </c>
      <c r="I57" s="14">
        <v>2113.1278448376806</v>
      </c>
      <c r="J57" s="13">
        <v>8.1</v>
      </c>
      <c r="K57" s="15">
        <v>0</v>
      </c>
    </row>
    <row r="58" spans="1:11" x14ac:dyDescent="0.25">
      <c r="A58" s="9" t="s">
        <v>12</v>
      </c>
      <c r="B58" s="1">
        <v>2021</v>
      </c>
      <c r="C58" s="10">
        <v>124331606801</v>
      </c>
      <c r="D58" s="11">
        <v>5219</v>
      </c>
      <c r="E58" s="12">
        <v>1186509691086.7307</v>
      </c>
      <c r="F58" s="12">
        <v>17820459508852.184</v>
      </c>
      <c r="G58" s="13">
        <v>156.484590188326</v>
      </c>
      <c r="H58" s="13">
        <v>112.6</v>
      </c>
      <c r="I58" s="14">
        <v>2218.6694011513018</v>
      </c>
      <c r="J58" s="13">
        <v>8.1</v>
      </c>
      <c r="K58" s="15">
        <v>0</v>
      </c>
    </row>
    <row r="59" spans="1:11" x14ac:dyDescent="0.25">
      <c r="A59" s="9" t="s">
        <v>12</v>
      </c>
      <c r="B59" s="1">
        <v>2022</v>
      </c>
      <c r="C59" s="10">
        <v>149408282739</v>
      </c>
      <c r="D59" s="11">
        <v>5219</v>
      </c>
      <c r="E59" s="12">
        <v>1319101183380.1516</v>
      </c>
      <c r="F59" s="12">
        <v>17963171479205.328</v>
      </c>
      <c r="G59" s="13">
        <v>163.07175241812101</v>
      </c>
      <c r="H59" s="13">
        <v>114.8</v>
      </c>
      <c r="I59" s="14">
        <v>2204.1718018658003</v>
      </c>
      <c r="J59" s="13">
        <v>8.1</v>
      </c>
      <c r="K59" s="15">
        <v>0</v>
      </c>
    </row>
    <row r="60" spans="1:11" x14ac:dyDescent="0.25">
      <c r="A60" s="9" t="s">
        <v>12</v>
      </c>
      <c r="B60" s="39">
        <v>2023</v>
      </c>
      <c r="C60" s="33">
        <v>140337299061</v>
      </c>
      <c r="D60" s="11">
        <v>5219</v>
      </c>
      <c r="E60" s="12">
        <v>1371169301563.6216</v>
      </c>
      <c r="F60" s="12">
        <v>18270356654533.215</v>
      </c>
      <c r="G60" s="13">
        <v>169.056700046911</v>
      </c>
      <c r="H60" s="13">
        <v>132.22</v>
      </c>
      <c r="I60" s="14">
        <v>2269.7003063130501</v>
      </c>
      <c r="J60" s="13">
        <v>8.1</v>
      </c>
      <c r="K60" s="15">
        <v>0</v>
      </c>
    </row>
    <row r="61" spans="1:11" x14ac:dyDescent="0.25">
      <c r="A61" s="9" t="s">
        <v>12</v>
      </c>
      <c r="B61" s="39">
        <v>2024</v>
      </c>
      <c r="C61" s="10">
        <v>147987500221</v>
      </c>
      <c r="D61" s="11">
        <v>5219</v>
      </c>
      <c r="E61" s="12">
        <v>1396300098190.9734</v>
      </c>
      <c r="F61" s="12">
        <v>18743803170827.164</v>
      </c>
      <c r="G61" s="13">
        <v>169.056700046911</v>
      </c>
      <c r="H61" s="13">
        <v>132.51</v>
      </c>
      <c r="I61" s="14">
        <v>2315.2222848271099</v>
      </c>
      <c r="J61" s="13">
        <v>8.1</v>
      </c>
      <c r="K61" s="15">
        <v>0</v>
      </c>
    </row>
    <row r="62" spans="1:11" x14ac:dyDescent="0.25">
      <c r="A62" s="9" t="s">
        <v>13</v>
      </c>
      <c r="B62" s="1">
        <v>2005</v>
      </c>
      <c r="C62" s="10">
        <v>135754273</v>
      </c>
      <c r="D62" s="11">
        <v>2778</v>
      </c>
      <c r="E62" s="12">
        <v>2735558734.7379031</v>
      </c>
      <c r="F62" s="12">
        <v>2285961149904.2568</v>
      </c>
      <c r="G62" s="13">
        <v>81.411100000000005</v>
      </c>
      <c r="H62" s="13">
        <v>86.509317656014602</v>
      </c>
      <c r="I62" s="14">
        <v>1300.3118014721622</v>
      </c>
      <c r="J62" s="13">
        <v>9.6999999999999993</v>
      </c>
      <c r="K62" s="15">
        <v>0</v>
      </c>
    </row>
    <row r="63" spans="1:11" x14ac:dyDescent="0.25">
      <c r="A63" s="9" t="s">
        <v>13</v>
      </c>
      <c r="B63" s="1">
        <v>2006</v>
      </c>
      <c r="C63" s="10">
        <v>225666435</v>
      </c>
      <c r="D63" s="11">
        <v>2778</v>
      </c>
      <c r="E63" s="12">
        <v>3455030060.978498</v>
      </c>
      <c r="F63" s="12">
        <v>2752118657221.6401</v>
      </c>
      <c r="G63" s="13">
        <v>86.742769999999993</v>
      </c>
      <c r="H63" s="13">
        <v>87.936230977228007</v>
      </c>
      <c r="I63" s="14">
        <v>1273.4310658652244</v>
      </c>
      <c r="J63" s="13">
        <v>9.6999999999999993</v>
      </c>
      <c r="K63" s="15">
        <v>0</v>
      </c>
    </row>
    <row r="64" spans="1:11" x14ac:dyDescent="0.25">
      <c r="A64" s="9" t="s">
        <v>13</v>
      </c>
      <c r="B64" s="1">
        <v>2007</v>
      </c>
      <c r="C64" s="10">
        <v>268233730</v>
      </c>
      <c r="D64" s="11">
        <v>2778</v>
      </c>
      <c r="E64" s="12">
        <v>4223152739.0405164</v>
      </c>
      <c r="F64" s="12">
        <v>3550327803024.6865</v>
      </c>
      <c r="G64" s="13">
        <v>90.784599999999998</v>
      </c>
      <c r="H64" s="13">
        <v>92.171912848883395</v>
      </c>
      <c r="I64" s="14">
        <v>1262.2658947829275</v>
      </c>
      <c r="J64" s="13">
        <v>9.6999999999999993</v>
      </c>
      <c r="K64" s="15">
        <v>0</v>
      </c>
    </row>
    <row r="65" spans="1:11" x14ac:dyDescent="0.25">
      <c r="A65" s="9" t="s">
        <v>13</v>
      </c>
      <c r="B65" s="1">
        <v>2008</v>
      </c>
      <c r="C65" s="10">
        <v>425255282</v>
      </c>
      <c r="D65" s="11">
        <v>2778</v>
      </c>
      <c r="E65" s="12">
        <v>5446433157.4011383</v>
      </c>
      <c r="F65" s="12">
        <v>4594336785752.0635</v>
      </c>
      <c r="G65" s="13">
        <v>97.711410000000001</v>
      </c>
      <c r="H65" s="13">
        <v>97.633333989666298</v>
      </c>
      <c r="I65" s="14">
        <v>1257.8234785041711</v>
      </c>
      <c r="J65" s="13">
        <v>9.6999999999999993</v>
      </c>
      <c r="K65" s="15">
        <v>0</v>
      </c>
    </row>
    <row r="66" spans="1:11" x14ac:dyDescent="0.25">
      <c r="A66" s="9" t="s">
        <v>13</v>
      </c>
      <c r="B66" s="1">
        <v>2009</v>
      </c>
      <c r="C66" s="10">
        <v>716377554</v>
      </c>
      <c r="D66" s="11">
        <v>2778</v>
      </c>
      <c r="E66" s="12">
        <v>5836137329.6330538</v>
      </c>
      <c r="F66" s="12">
        <v>5101691124358.4053</v>
      </c>
      <c r="G66" s="13">
        <v>97.847700000000003</v>
      </c>
      <c r="H66" s="13">
        <v>96.922396038956094</v>
      </c>
      <c r="I66" s="14">
        <v>1245.9131603989767</v>
      </c>
      <c r="J66" s="13">
        <v>9.6999999999999993</v>
      </c>
      <c r="K66" s="15">
        <v>0</v>
      </c>
    </row>
    <row r="67" spans="1:11" x14ac:dyDescent="0.25">
      <c r="A67" s="9" t="s">
        <v>13</v>
      </c>
      <c r="B67" s="1">
        <v>2010</v>
      </c>
      <c r="C67" s="10">
        <v>1035242992</v>
      </c>
      <c r="D67" s="11">
        <v>2778</v>
      </c>
      <c r="E67" s="12">
        <v>7131771014.7045641</v>
      </c>
      <c r="F67" s="12">
        <v>6087191746738.5713</v>
      </c>
      <c r="G67" s="13">
        <v>103.7016</v>
      </c>
      <c r="H67" s="13">
        <v>100</v>
      </c>
      <c r="I67" s="14">
        <v>1219.7565817881566</v>
      </c>
      <c r="J67" s="13">
        <v>9.6999999999999993</v>
      </c>
      <c r="K67" s="15">
        <v>0</v>
      </c>
    </row>
    <row r="68" spans="1:11" x14ac:dyDescent="0.25">
      <c r="A68" s="9" t="s">
        <v>13</v>
      </c>
      <c r="B68" s="1">
        <v>2011</v>
      </c>
      <c r="C68" s="10">
        <v>1256957046</v>
      </c>
      <c r="D68" s="11">
        <v>2778</v>
      </c>
      <c r="E68" s="12">
        <v>8750104617.1730289</v>
      </c>
      <c r="F68" s="12">
        <v>7551545703518.1367</v>
      </c>
      <c r="G68" s="13">
        <v>111.55200000000001</v>
      </c>
      <c r="H68" s="13">
        <v>105.4</v>
      </c>
      <c r="I68" s="14">
        <v>1242.7614426793205</v>
      </c>
      <c r="J68" s="13">
        <v>9.6999999999999993</v>
      </c>
      <c r="K68" s="15">
        <v>0</v>
      </c>
    </row>
    <row r="69" spans="1:11" x14ac:dyDescent="0.25">
      <c r="A69" s="9" t="s">
        <v>13</v>
      </c>
      <c r="B69" s="1">
        <v>2012</v>
      </c>
      <c r="C69" s="10">
        <v>1730871677</v>
      </c>
      <c r="D69" s="11">
        <v>2778</v>
      </c>
      <c r="E69" s="12">
        <v>10192846339.40287</v>
      </c>
      <c r="F69" s="12">
        <v>8532185381696.4346</v>
      </c>
      <c r="G69" s="13">
        <v>116.29810000000001</v>
      </c>
      <c r="H69" s="13">
        <v>108.2</v>
      </c>
      <c r="I69" s="14">
        <v>1268.5892394585708</v>
      </c>
      <c r="J69" s="13">
        <v>9.6999999999999993</v>
      </c>
      <c r="K69" s="15">
        <v>0</v>
      </c>
    </row>
    <row r="70" spans="1:11" x14ac:dyDescent="0.25">
      <c r="A70" s="9" t="s">
        <v>13</v>
      </c>
      <c r="B70" s="1">
        <v>2013</v>
      </c>
      <c r="C70" s="10">
        <v>2786668858</v>
      </c>
      <c r="D70" s="11">
        <v>2778</v>
      </c>
      <c r="E70" s="12">
        <v>11983252626.545183</v>
      </c>
      <c r="F70" s="12">
        <v>9570471111847.8164</v>
      </c>
      <c r="G70" s="13">
        <v>123.70910000000001</v>
      </c>
      <c r="H70" s="13">
        <v>111</v>
      </c>
      <c r="I70" s="14">
        <v>1268.6320319400622</v>
      </c>
      <c r="J70" s="13">
        <v>9.6999999999999993</v>
      </c>
      <c r="K70" s="15">
        <v>0</v>
      </c>
    </row>
    <row r="71" spans="1:11" x14ac:dyDescent="0.25">
      <c r="A71" s="9" t="s">
        <v>13</v>
      </c>
      <c r="B71" s="1">
        <v>2014</v>
      </c>
      <c r="C71" s="10">
        <v>3619894032</v>
      </c>
      <c r="D71" s="11">
        <v>2778</v>
      </c>
      <c r="E71" s="12">
        <v>13279245886.385435</v>
      </c>
      <c r="F71" s="12">
        <v>10475624944290.115</v>
      </c>
      <c r="G71" s="13">
        <v>128.81829999999999</v>
      </c>
      <c r="H71" s="13">
        <v>113.2</v>
      </c>
      <c r="I71" s="14">
        <v>1310.1728136961856</v>
      </c>
      <c r="J71" s="13">
        <v>10</v>
      </c>
      <c r="K71" s="15">
        <v>0</v>
      </c>
    </row>
    <row r="72" spans="1:11" x14ac:dyDescent="0.25">
      <c r="A72" s="9" t="s">
        <v>13</v>
      </c>
      <c r="B72" s="1">
        <v>2015</v>
      </c>
      <c r="C72" s="10">
        <v>2576715905</v>
      </c>
      <c r="D72" s="11">
        <v>2778</v>
      </c>
      <c r="E72" s="12">
        <v>14426380125.648829</v>
      </c>
      <c r="F72" s="12">
        <v>11061572618594.75</v>
      </c>
      <c r="G72" s="13">
        <v>130.46250000000001</v>
      </c>
      <c r="H72" s="13">
        <v>114.9</v>
      </c>
      <c r="I72" s="14">
        <v>1308.3778042470017</v>
      </c>
      <c r="J72" s="13">
        <v>10</v>
      </c>
      <c r="K72" s="15">
        <v>0</v>
      </c>
    </row>
    <row r="73" spans="1:11" x14ac:dyDescent="0.25">
      <c r="A73" s="9" t="s">
        <v>13</v>
      </c>
      <c r="B73" s="1">
        <v>2016</v>
      </c>
      <c r="C73" s="10">
        <v>2338899419</v>
      </c>
      <c r="D73" s="11">
        <v>2778</v>
      </c>
      <c r="E73" s="12">
        <v>15912501722.614256</v>
      </c>
      <c r="F73" s="12">
        <v>11233313730288.52</v>
      </c>
      <c r="G73" s="13">
        <v>127.813009249952</v>
      </c>
      <c r="H73" s="13">
        <v>102</v>
      </c>
      <c r="I73" s="14">
        <v>1230.9873767784522</v>
      </c>
      <c r="J73" s="13">
        <v>8.5</v>
      </c>
      <c r="K73" s="15">
        <v>0</v>
      </c>
    </row>
    <row r="74" spans="1:11" x14ac:dyDescent="0.25">
      <c r="A74" s="9" t="s">
        <v>13</v>
      </c>
      <c r="B74" s="1">
        <v>2017</v>
      </c>
      <c r="C74" s="10">
        <v>2932432205</v>
      </c>
      <c r="D74" s="11">
        <v>2778</v>
      </c>
      <c r="E74" s="12">
        <v>17071155481.499359</v>
      </c>
      <c r="F74" s="12">
        <v>12310491333980.889</v>
      </c>
      <c r="G74" s="13">
        <v>128.868078298999</v>
      </c>
      <c r="H74" s="13">
        <v>103.6</v>
      </c>
      <c r="I74" s="14">
        <v>1235.2459903830274</v>
      </c>
      <c r="J74" s="13">
        <v>8.5</v>
      </c>
      <c r="K74" s="15">
        <v>0</v>
      </c>
    </row>
    <row r="75" spans="1:11" x14ac:dyDescent="0.25">
      <c r="A75" s="9" t="s">
        <v>13</v>
      </c>
      <c r="B75" s="1">
        <v>2018</v>
      </c>
      <c r="C75" s="10">
        <v>3470366059</v>
      </c>
      <c r="D75" s="11">
        <v>2778</v>
      </c>
      <c r="E75" s="12">
        <v>18141641089.796326</v>
      </c>
      <c r="F75" s="12">
        <v>13894907857925.922</v>
      </c>
      <c r="G75" s="13">
        <v>131.497493121167</v>
      </c>
      <c r="H75" s="13">
        <v>105.8</v>
      </c>
      <c r="I75" s="14">
        <v>1281.9057903458231</v>
      </c>
      <c r="J75" s="13">
        <v>8.5</v>
      </c>
      <c r="K75" s="15">
        <v>0</v>
      </c>
    </row>
    <row r="76" spans="1:11" x14ac:dyDescent="0.25">
      <c r="A76" s="9" t="s">
        <v>13</v>
      </c>
      <c r="B76" s="1">
        <v>2019</v>
      </c>
      <c r="C76" s="10">
        <v>3932525139</v>
      </c>
      <c r="D76" s="11">
        <v>2778</v>
      </c>
      <c r="E76" s="12">
        <v>18740561512.555496</v>
      </c>
      <c r="F76" s="12">
        <v>14279968506242.775</v>
      </c>
      <c r="G76" s="13">
        <v>135.86657466717199</v>
      </c>
      <c r="H76" s="13">
        <v>108.8</v>
      </c>
      <c r="I76" s="14">
        <v>1273.3495986241501</v>
      </c>
      <c r="J76" s="13">
        <v>8.6</v>
      </c>
      <c r="K76" s="15">
        <v>0</v>
      </c>
    </row>
    <row r="77" spans="1:11" x14ac:dyDescent="0.25">
      <c r="A77" s="9" t="s">
        <v>13</v>
      </c>
      <c r="B77" s="1">
        <v>2020</v>
      </c>
      <c r="C77" s="10">
        <v>3627921606</v>
      </c>
      <c r="D77" s="11">
        <v>2778</v>
      </c>
      <c r="E77" s="12">
        <v>18981805250.242397</v>
      </c>
      <c r="F77" s="12">
        <v>14687744162801.033</v>
      </c>
      <c r="G77" s="13">
        <v>142.80130331753301</v>
      </c>
      <c r="H77" s="13">
        <v>111.6</v>
      </c>
      <c r="I77" s="14">
        <v>1325.0607480054716</v>
      </c>
      <c r="J77" s="13">
        <v>8.6</v>
      </c>
      <c r="K77" s="15">
        <v>0</v>
      </c>
    </row>
    <row r="78" spans="1:11" x14ac:dyDescent="0.25">
      <c r="A78" s="9" t="s">
        <v>13</v>
      </c>
      <c r="B78" s="1">
        <v>2021</v>
      </c>
      <c r="C78" s="10">
        <v>4285639234</v>
      </c>
      <c r="D78" s="11">
        <v>2778</v>
      </c>
      <c r="E78" s="12">
        <v>18827148530.934723</v>
      </c>
      <c r="F78" s="12">
        <v>17820459508852.184</v>
      </c>
      <c r="G78" s="13">
        <v>148.16437814868101</v>
      </c>
      <c r="H78" s="13">
        <v>112.6</v>
      </c>
      <c r="I78" s="14">
        <v>1417.8897552406654</v>
      </c>
      <c r="J78" s="13">
        <v>8.6</v>
      </c>
      <c r="K78" s="15">
        <v>0</v>
      </c>
    </row>
    <row r="79" spans="1:11" x14ac:dyDescent="0.25">
      <c r="A79" s="9" t="s">
        <v>13</v>
      </c>
      <c r="B79" s="1">
        <v>2022</v>
      </c>
      <c r="C79" s="10">
        <v>5681616012</v>
      </c>
      <c r="D79" s="11">
        <v>2778</v>
      </c>
      <c r="E79" s="12">
        <v>15468785203.753174</v>
      </c>
      <c r="F79" s="12">
        <v>17963171479205.328</v>
      </c>
      <c r="G79" s="13">
        <v>182.177322481799</v>
      </c>
      <c r="H79" s="13">
        <v>114.8</v>
      </c>
      <c r="I79" s="14">
        <v>2083.2562423060313</v>
      </c>
      <c r="J79" s="13">
        <v>8.6</v>
      </c>
      <c r="K79" s="15">
        <v>0</v>
      </c>
    </row>
    <row r="80" spans="1:11" x14ac:dyDescent="0.25">
      <c r="A80" s="9" t="s">
        <v>13</v>
      </c>
      <c r="B80" s="39">
        <v>2023</v>
      </c>
      <c r="C80" s="10">
        <v>7120164061</v>
      </c>
      <c r="D80" s="11">
        <v>2778</v>
      </c>
      <c r="E80" s="12">
        <v>15843155731.25518</v>
      </c>
      <c r="F80" s="12">
        <v>18270356654533.215</v>
      </c>
      <c r="G80" s="13">
        <v>239.07154472612601</v>
      </c>
      <c r="H80" s="13">
        <v>132.22</v>
      </c>
      <c r="I80" s="14">
        <v>2366.9310761512802</v>
      </c>
      <c r="J80" s="13">
        <v>8.6466666666666701</v>
      </c>
      <c r="K80" s="15">
        <v>0</v>
      </c>
    </row>
    <row r="81" spans="1:11" x14ac:dyDescent="0.25">
      <c r="A81" s="9" t="s">
        <v>13</v>
      </c>
      <c r="B81" s="39">
        <v>2024</v>
      </c>
      <c r="C81" s="10">
        <v>8211245001</v>
      </c>
      <c r="D81" s="11">
        <v>2778</v>
      </c>
      <c r="E81" s="12">
        <v>16502933121.080585</v>
      </c>
      <c r="F81" s="12">
        <v>18743803170827.164</v>
      </c>
      <c r="G81" s="13">
        <v>294.37015475907202</v>
      </c>
      <c r="H81" s="13">
        <v>132.51</v>
      </c>
      <c r="I81" s="14">
        <v>2746.0288233015599</v>
      </c>
      <c r="J81" s="13">
        <v>8.6695238095238096</v>
      </c>
      <c r="K81" s="15">
        <v>0</v>
      </c>
    </row>
    <row r="82" spans="1:11" x14ac:dyDescent="0.25">
      <c r="A82" s="9" t="s">
        <v>14</v>
      </c>
      <c r="B82" s="1">
        <v>2005</v>
      </c>
      <c r="C82" s="10">
        <v>22479653696</v>
      </c>
      <c r="D82" s="11">
        <v>4348</v>
      </c>
      <c r="E82" s="12">
        <v>143534405818.50137</v>
      </c>
      <c r="F82" s="12">
        <v>2285961149904.2568</v>
      </c>
      <c r="G82" s="13">
        <v>88.22099</v>
      </c>
      <c r="H82" s="13">
        <v>86.509317656014602</v>
      </c>
      <c r="I82" s="14">
        <v>0.46216076590075622</v>
      </c>
      <c r="J82" s="13">
        <v>8.5</v>
      </c>
      <c r="K82" s="15">
        <v>0</v>
      </c>
    </row>
    <row r="83" spans="1:11" x14ac:dyDescent="0.25">
      <c r="A83" s="9" t="s">
        <v>14</v>
      </c>
      <c r="B83" s="1">
        <v>2006</v>
      </c>
      <c r="C83" s="10">
        <v>27533413645</v>
      </c>
      <c r="D83" s="11">
        <v>4348</v>
      </c>
      <c r="E83" s="12">
        <v>162692258307.05551</v>
      </c>
      <c r="F83" s="12">
        <v>2752118657221.6401</v>
      </c>
      <c r="G83" s="13">
        <v>91.41516</v>
      </c>
      <c r="H83" s="13">
        <v>87.936230977228007</v>
      </c>
      <c r="I83" s="14">
        <v>0.46004958023755144</v>
      </c>
      <c r="J83" s="13">
        <v>8.5</v>
      </c>
      <c r="K83" s="15">
        <v>0</v>
      </c>
    </row>
    <row r="84" spans="1:11" x14ac:dyDescent="0.25">
      <c r="A84" s="9" t="s">
        <v>14</v>
      </c>
      <c r="B84" s="1">
        <v>2007</v>
      </c>
      <c r="C84" s="10">
        <v>34359925004</v>
      </c>
      <c r="D84" s="11">
        <v>4348</v>
      </c>
      <c r="E84" s="12">
        <v>193549569477.73267</v>
      </c>
      <c r="F84" s="12">
        <v>3550327803024.6865</v>
      </c>
      <c r="G84" s="13">
        <v>93.267939999999996</v>
      </c>
      <c r="H84" s="13">
        <v>92.171912848883395</v>
      </c>
      <c r="I84" s="14">
        <v>0.45186391018375544</v>
      </c>
      <c r="J84" s="13">
        <v>8.4</v>
      </c>
      <c r="K84" s="15">
        <v>0</v>
      </c>
    </row>
    <row r="85" spans="1:11" x14ac:dyDescent="0.25">
      <c r="A85" s="9" t="s">
        <v>14</v>
      </c>
      <c r="B85" s="1">
        <v>2008</v>
      </c>
      <c r="C85" s="10">
        <v>39133169943</v>
      </c>
      <c r="D85" s="11">
        <v>4348</v>
      </c>
      <c r="E85" s="12">
        <v>230811614370.38364</v>
      </c>
      <c r="F85" s="12">
        <v>4594336785752.0635</v>
      </c>
      <c r="G85" s="13">
        <v>98.331659999999999</v>
      </c>
      <c r="H85" s="13">
        <v>97.633333989666298</v>
      </c>
      <c r="I85" s="14">
        <v>0.48006892460483364</v>
      </c>
      <c r="J85" s="13">
        <v>8.8000000000000007</v>
      </c>
      <c r="K85" s="15">
        <v>0</v>
      </c>
    </row>
    <row r="86" spans="1:11" x14ac:dyDescent="0.25">
      <c r="A86" s="9" t="s">
        <v>14</v>
      </c>
      <c r="B86" s="1">
        <v>2009</v>
      </c>
      <c r="C86" s="10">
        <v>36593456292</v>
      </c>
      <c r="D86" s="11">
        <v>4348</v>
      </c>
      <c r="E86" s="12">
        <v>202257453036.6409</v>
      </c>
      <c r="F86" s="12">
        <v>5101691124358.4053</v>
      </c>
      <c r="G86" s="13">
        <v>98.910129999999995</v>
      </c>
      <c r="H86" s="13">
        <v>96.922396038956094</v>
      </c>
      <c r="I86" s="14">
        <v>0.51592567104568821</v>
      </c>
      <c r="J86" s="13">
        <v>8</v>
      </c>
      <c r="K86" s="15">
        <v>0</v>
      </c>
    </row>
    <row r="87" spans="1:11" x14ac:dyDescent="0.25">
      <c r="A87" s="9" t="s">
        <v>14</v>
      </c>
      <c r="B87" s="1">
        <v>2010</v>
      </c>
      <c r="C87" s="10">
        <v>45594228053</v>
      </c>
      <c r="D87" s="11">
        <v>4348</v>
      </c>
      <c r="E87" s="12">
        <v>255017638455.58969</v>
      </c>
      <c r="F87" s="12">
        <v>6087191746738.5713</v>
      </c>
      <c r="G87" s="13">
        <v>100.6204</v>
      </c>
      <c r="H87" s="13">
        <v>100</v>
      </c>
      <c r="I87" s="14">
        <v>0.47576941197475986</v>
      </c>
      <c r="J87" s="13">
        <v>6.5</v>
      </c>
      <c r="K87" s="15">
        <v>0</v>
      </c>
    </row>
    <row r="88" spans="1:11" x14ac:dyDescent="0.25">
      <c r="A88" s="9" t="s">
        <v>14</v>
      </c>
      <c r="B88" s="1">
        <v>2011</v>
      </c>
      <c r="C88" s="10">
        <v>54700713274</v>
      </c>
      <c r="D88" s="11">
        <v>4348</v>
      </c>
      <c r="E88" s="12">
        <v>297951668674.83466</v>
      </c>
      <c r="F88" s="12">
        <v>7551545703518.1367</v>
      </c>
      <c r="G88" s="13">
        <v>103.8146</v>
      </c>
      <c r="H88" s="13">
        <v>105.4</v>
      </c>
      <c r="I88" s="14">
        <v>0.47357754784145856</v>
      </c>
      <c r="J88" s="13">
        <v>6.5</v>
      </c>
      <c r="K88" s="15">
        <v>0</v>
      </c>
    </row>
    <row r="89" spans="1:11" x14ac:dyDescent="0.25">
      <c r="A89" s="9" t="s">
        <v>14</v>
      </c>
      <c r="B89" s="1">
        <v>2012</v>
      </c>
      <c r="C89" s="10">
        <v>58544060231</v>
      </c>
      <c r="D89" s="11">
        <v>4348</v>
      </c>
      <c r="E89" s="12">
        <v>314443047642.11096</v>
      </c>
      <c r="F89" s="12">
        <v>8532185381696.4346</v>
      </c>
      <c r="G89" s="13">
        <v>105.5416</v>
      </c>
      <c r="H89" s="13">
        <v>108.2</v>
      </c>
      <c r="I89" s="14">
        <v>0.48932794758071391</v>
      </c>
      <c r="J89" s="13">
        <v>6.5</v>
      </c>
      <c r="K89" s="15">
        <v>0</v>
      </c>
    </row>
    <row r="90" spans="1:11" x14ac:dyDescent="0.25">
      <c r="A90" s="9" t="s">
        <v>14</v>
      </c>
      <c r="B90" s="1">
        <v>2013</v>
      </c>
      <c r="C90" s="10">
        <v>64451491377</v>
      </c>
      <c r="D90" s="11">
        <v>4348</v>
      </c>
      <c r="E90" s="12">
        <v>323276235524.41534</v>
      </c>
      <c r="F90" s="12">
        <v>9570471111847.8164</v>
      </c>
      <c r="G90" s="13">
        <v>107.7632</v>
      </c>
      <c r="H90" s="13">
        <v>111</v>
      </c>
      <c r="I90" s="14">
        <v>0.5085589808537927</v>
      </c>
      <c r="J90" s="13">
        <v>6</v>
      </c>
      <c r="K90" s="15">
        <v>0</v>
      </c>
    </row>
    <row r="91" spans="1:11" x14ac:dyDescent="0.25">
      <c r="A91" s="9" t="s">
        <v>14</v>
      </c>
      <c r="B91" s="1">
        <v>2014</v>
      </c>
      <c r="C91" s="10">
        <v>63531914783</v>
      </c>
      <c r="D91" s="11">
        <v>4348</v>
      </c>
      <c r="E91" s="12">
        <v>338066095097.25439</v>
      </c>
      <c r="F91" s="12">
        <v>10475624944290.115</v>
      </c>
      <c r="G91" s="13">
        <v>111.1502</v>
      </c>
      <c r="H91" s="13">
        <v>113.2</v>
      </c>
      <c r="I91" s="14">
        <v>0.53274108520771979</v>
      </c>
      <c r="J91" s="13">
        <v>6.1</v>
      </c>
      <c r="K91" s="15">
        <v>0</v>
      </c>
    </row>
    <row r="92" spans="1:11" x14ac:dyDescent="0.25">
      <c r="A92" s="9" t="s">
        <v>14</v>
      </c>
      <c r="B92" s="1">
        <v>2015</v>
      </c>
      <c r="C92" s="10">
        <v>59142121461</v>
      </c>
      <c r="D92" s="11">
        <v>4348</v>
      </c>
      <c r="E92" s="12">
        <v>301355266964.94733</v>
      </c>
      <c r="F92" s="12">
        <v>11061572618594.75</v>
      </c>
      <c r="G92" s="13">
        <v>113.4893</v>
      </c>
      <c r="H92" s="13">
        <v>114.9</v>
      </c>
      <c r="I92" s="14">
        <v>0.62713887862091811</v>
      </c>
      <c r="J92" s="13">
        <v>6.1</v>
      </c>
      <c r="K92" s="15">
        <v>1</v>
      </c>
    </row>
    <row r="93" spans="1:11" x14ac:dyDescent="0.25">
      <c r="A93" s="9" t="s">
        <v>14</v>
      </c>
      <c r="B93" s="1">
        <v>2016</v>
      </c>
      <c r="C93" s="10">
        <v>88470464195</v>
      </c>
      <c r="D93" s="11">
        <v>4348</v>
      </c>
      <c r="E93" s="12">
        <v>301256033870.33356</v>
      </c>
      <c r="F93" s="12">
        <v>11233313730288.52</v>
      </c>
      <c r="G93" s="13">
        <v>115.147475420763</v>
      </c>
      <c r="H93" s="13">
        <v>102</v>
      </c>
      <c r="I93" s="14">
        <v>0.62432304981373909</v>
      </c>
      <c r="J93" s="13">
        <v>5.8</v>
      </c>
      <c r="K93" s="15">
        <v>0</v>
      </c>
    </row>
    <row r="94" spans="1:11" x14ac:dyDescent="0.25">
      <c r="A94" s="9" t="s">
        <v>14</v>
      </c>
      <c r="B94" s="1">
        <v>2017</v>
      </c>
      <c r="C94" s="10">
        <v>96625701605</v>
      </c>
      <c r="D94" s="11">
        <v>4348</v>
      </c>
      <c r="E94" s="12">
        <v>319109094160.34308</v>
      </c>
      <c r="F94" s="12">
        <v>12310491333980.889</v>
      </c>
      <c r="G94" s="13">
        <v>119.60506582236199</v>
      </c>
      <c r="H94" s="13">
        <v>103.6</v>
      </c>
      <c r="I94" s="14">
        <v>0.63627706917418991</v>
      </c>
      <c r="J94" s="13">
        <v>5.6</v>
      </c>
      <c r="K94" s="15">
        <v>0</v>
      </c>
    </row>
    <row r="95" spans="1:11" x14ac:dyDescent="0.25">
      <c r="A95" s="9" t="s">
        <v>14</v>
      </c>
      <c r="B95" s="1">
        <v>2018</v>
      </c>
      <c r="C95" s="10">
        <v>109635949730</v>
      </c>
      <c r="D95" s="11">
        <v>4348</v>
      </c>
      <c r="E95" s="12">
        <v>358788845712.52972</v>
      </c>
      <c r="F95" s="12">
        <v>13894907857925.922</v>
      </c>
      <c r="G95" s="13">
        <v>120.6632227962</v>
      </c>
      <c r="H95" s="13">
        <v>105.8</v>
      </c>
      <c r="I95" s="14">
        <v>0.60990874471070589</v>
      </c>
      <c r="J95" s="13">
        <v>5.6</v>
      </c>
      <c r="K95" s="15">
        <v>0</v>
      </c>
    </row>
    <row r="96" spans="1:11" x14ac:dyDescent="0.25">
      <c r="A96" s="9" t="s">
        <v>14</v>
      </c>
      <c r="B96" s="1">
        <v>2019</v>
      </c>
      <c r="C96" s="10">
        <v>124111001882</v>
      </c>
      <c r="D96" s="11">
        <v>4348</v>
      </c>
      <c r="E96" s="12">
        <v>365177721021.51611</v>
      </c>
      <c r="F96" s="12">
        <v>14279968506242.775</v>
      </c>
      <c r="G96" s="13">
        <v>121.46308948508501</v>
      </c>
      <c r="H96" s="13">
        <v>108.8</v>
      </c>
      <c r="I96" s="14">
        <v>0.59962925195197936</v>
      </c>
      <c r="J96" s="13">
        <v>5.6</v>
      </c>
      <c r="K96" s="15">
        <v>0</v>
      </c>
    </row>
    <row r="97" spans="1:11" x14ac:dyDescent="0.25">
      <c r="A97" s="9" t="s">
        <v>14</v>
      </c>
      <c r="B97" s="1">
        <v>2020</v>
      </c>
      <c r="C97" s="10">
        <v>131676360705</v>
      </c>
      <c r="D97" s="11">
        <v>4348</v>
      </c>
      <c r="E97" s="12">
        <v>337456163961.21118</v>
      </c>
      <c r="F97" s="12">
        <v>14687744162801.033</v>
      </c>
      <c r="G97" s="13">
        <v>120.079986668888</v>
      </c>
      <c r="H97" s="13">
        <v>111.6</v>
      </c>
      <c r="I97" s="14">
        <v>0.60913254778341186</v>
      </c>
      <c r="J97" s="13">
        <v>5.7</v>
      </c>
      <c r="K97" s="15">
        <v>0</v>
      </c>
    </row>
    <row r="98" spans="1:11" x14ac:dyDescent="0.25">
      <c r="A98" s="9" t="s">
        <v>14</v>
      </c>
      <c r="B98" s="1">
        <v>2021</v>
      </c>
      <c r="C98" s="10">
        <v>177074474328</v>
      </c>
      <c r="D98" s="11">
        <v>4348</v>
      </c>
      <c r="E98" s="12">
        <v>373784823672.94629</v>
      </c>
      <c r="F98" s="12">
        <v>17820459508852.184</v>
      </c>
      <c r="G98" s="13">
        <v>123.05449091817999</v>
      </c>
      <c r="H98" s="13">
        <v>112.6</v>
      </c>
      <c r="I98" s="14">
        <v>0.64247380124725129</v>
      </c>
      <c r="J98" s="13">
        <v>5.6</v>
      </c>
      <c r="K98" s="15">
        <v>0</v>
      </c>
    </row>
    <row r="99" spans="1:11" x14ac:dyDescent="0.25">
      <c r="A99" s="9" t="s">
        <v>14</v>
      </c>
      <c r="B99" s="1">
        <v>2022</v>
      </c>
      <c r="C99" s="10">
        <v>205011990128</v>
      </c>
      <c r="D99" s="11">
        <v>4348</v>
      </c>
      <c r="E99" s="12">
        <v>407605841348.2348</v>
      </c>
      <c r="F99" s="12">
        <v>17963171479205.328</v>
      </c>
      <c r="G99" s="13">
        <v>127.212131311448</v>
      </c>
      <c r="H99" s="13">
        <v>114.8</v>
      </c>
      <c r="I99" s="14">
        <v>0.65325407636173316</v>
      </c>
      <c r="J99" s="13">
        <v>5.6</v>
      </c>
      <c r="K99" s="15">
        <v>0</v>
      </c>
    </row>
    <row r="100" spans="1:11" x14ac:dyDescent="0.25">
      <c r="A100" s="9" t="s">
        <v>14</v>
      </c>
      <c r="B100" s="39">
        <v>2023</v>
      </c>
      <c r="C100" s="10">
        <v>192780923833</v>
      </c>
      <c r="D100" s="11">
        <v>4348</v>
      </c>
      <c r="E100" s="12">
        <v>399705137434.07428</v>
      </c>
      <c r="F100" s="12">
        <v>18270356654533.215</v>
      </c>
      <c r="G100" s="13">
        <v>130.37827028828499</v>
      </c>
      <c r="H100" s="13">
        <v>132.22</v>
      </c>
      <c r="I100" s="14">
        <v>0.67907500370912</v>
      </c>
      <c r="J100" s="13">
        <v>5.62</v>
      </c>
      <c r="K100" s="15">
        <v>0</v>
      </c>
    </row>
    <row r="101" spans="1:11" x14ac:dyDescent="0.25">
      <c r="A101" s="9" t="s">
        <v>14</v>
      </c>
      <c r="B101" s="39">
        <v>2024</v>
      </c>
      <c r="C101" s="10">
        <v>211996096988</v>
      </c>
      <c r="D101" s="11">
        <v>4348</v>
      </c>
      <c r="E101" s="12">
        <v>421972102253.57031</v>
      </c>
      <c r="F101" s="12">
        <v>18743803170827.164</v>
      </c>
      <c r="G101" s="13">
        <v>132.769538410264</v>
      </c>
      <c r="H101" s="13">
        <v>132.51</v>
      </c>
      <c r="I101" s="14">
        <v>0.70113576799828103</v>
      </c>
      <c r="J101" s="13">
        <v>5.62</v>
      </c>
      <c r="K101" s="15">
        <v>0</v>
      </c>
    </row>
    <row r="102" spans="1:11" x14ac:dyDescent="0.25">
      <c r="A102" s="9" t="s">
        <v>15</v>
      </c>
      <c r="B102" s="1">
        <v>2005</v>
      </c>
      <c r="C102" s="10">
        <v>553461766</v>
      </c>
      <c r="D102" s="11">
        <v>2957</v>
      </c>
      <c r="E102" s="12">
        <v>11986972418.5103</v>
      </c>
      <c r="F102" s="12">
        <v>2285961149904.2568</v>
      </c>
      <c r="G102" s="13">
        <v>44.531097465480798</v>
      </c>
      <c r="H102" s="13">
        <v>86.509317656014602</v>
      </c>
      <c r="I102" s="14">
        <v>0.71002463089661705</v>
      </c>
      <c r="J102" s="13">
        <v>5.6</v>
      </c>
      <c r="K102" s="15">
        <v>0</v>
      </c>
    </row>
    <row r="103" spans="1:11" x14ac:dyDescent="0.25">
      <c r="A103" s="9" t="s">
        <v>15</v>
      </c>
      <c r="B103" s="1">
        <v>2006</v>
      </c>
      <c r="C103" s="10">
        <v>638011534</v>
      </c>
      <c r="D103" s="11">
        <v>2957</v>
      </c>
      <c r="E103" s="12">
        <v>14502553709.830305</v>
      </c>
      <c r="F103" s="12">
        <v>2752118657221.6401</v>
      </c>
      <c r="G103" s="13">
        <v>53.435752730712501</v>
      </c>
      <c r="H103" s="13">
        <v>87.936230977228007</v>
      </c>
      <c r="I103" s="14">
        <v>0.73280075952595136</v>
      </c>
      <c r="J103" s="13">
        <v>5.6</v>
      </c>
      <c r="K103" s="15">
        <v>0</v>
      </c>
    </row>
    <row r="104" spans="1:11" x14ac:dyDescent="0.25">
      <c r="A104" s="9" t="s">
        <v>15</v>
      </c>
      <c r="B104" s="1">
        <v>2007</v>
      </c>
      <c r="C104" s="10">
        <v>864923158</v>
      </c>
      <c r="D104" s="11">
        <v>2957</v>
      </c>
      <c r="E104" s="12">
        <v>20182477480.551235</v>
      </c>
      <c r="F104" s="12">
        <v>3550327803024.6865</v>
      </c>
      <c r="G104" s="13">
        <v>72.151409816911794</v>
      </c>
      <c r="H104" s="13">
        <v>92.171912848883395</v>
      </c>
      <c r="I104" s="14">
        <v>0.73833182221699345</v>
      </c>
      <c r="J104" s="13">
        <v>5.6</v>
      </c>
      <c r="K104" s="15">
        <v>0</v>
      </c>
    </row>
    <row r="105" spans="1:11" x14ac:dyDescent="0.25">
      <c r="A105" s="9" t="s">
        <v>15</v>
      </c>
      <c r="B105" s="1">
        <v>2008</v>
      </c>
      <c r="C105" s="10">
        <v>1027091669</v>
      </c>
      <c r="D105" s="11">
        <v>2957</v>
      </c>
      <c r="E105" s="12">
        <v>31862554101.937805</v>
      </c>
      <c r="F105" s="12">
        <v>4594336785752.0635</v>
      </c>
      <c r="G105" s="13">
        <v>91.487653726359099</v>
      </c>
      <c r="H105" s="13">
        <v>97.633333989666298</v>
      </c>
      <c r="I105" s="14">
        <v>0.78309399444928551</v>
      </c>
      <c r="J105" s="13">
        <v>5.6</v>
      </c>
      <c r="K105" s="15">
        <v>0</v>
      </c>
    </row>
    <row r="106" spans="1:11" x14ac:dyDescent="0.25">
      <c r="A106" s="9" t="s">
        <v>15</v>
      </c>
      <c r="B106" s="1">
        <v>2009</v>
      </c>
      <c r="C106" s="10">
        <v>873386879</v>
      </c>
      <c r="D106" s="11">
        <v>2957</v>
      </c>
      <c r="E106" s="12">
        <v>36906181380.812683</v>
      </c>
      <c r="F106" s="12">
        <v>5101691124358.4053</v>
      </c>
      <c r="G106" s="13">
        <v>92.834665896028</v>
      </c>
      <c r="H106" s="13">
        <v>96.922396038956094</v>
      </c>
      <c r="I106" s="14">
        <v>0.81628268933465209</v>
      </c>
      <c r="J106" s="13">
        <v>5.6</v>
      </c>
      <c r="K106" s="15">
        <v>0</v>
      </c>
    </row>
    <row r="107" spans="1:11" x14ac:dyDescent="0.25">
      <c r="A107" s="9" t="s">
        <v>15</v>
      </c>
      <c r="B107" s="1">
        <v>2010</v>
      </c>
      <c r="C107" s="10">
        <v>1224333106</v>
      </c>
      <c r="D107" s="11">
        <v>2957</v>
      </c>
      <c r="E107" s="12">
        <v>49540813342.483398</v>
      </c>
      <c r="F107" s="12">
        <v>6087191746738.5713</v>
      </c>
      <c r="G107" s="13">
        <v>100</v>
      </c>
      <c r="H107" s="13">
        <v>100</v>
      </c>
      <c r="I107" s="14">
        <v>0.83229828968468111</v>
      </c>
      <c r="J107" s="13">
        <v>5.6</v>
      </c>
      <c r="K107" s="15">
        <v>0</v>
      </c>
    </row>
    <row r="108" spans="1:11" x14ac:dyDescent="0.25">
      <c r="A108" s="9" t="s">
        <v>15</v>
      </c>
      <c r="B108" s="1">
        <v>2011</v>
      </c>
      <c r="C108" s="10">
        <v>3818935480</v>
      </c>
      <c r="D108" s="11">
        <v>2957</v>
      </c>
      <c r="E108" s="12">
        <v>59977326085.990768</v>
      </c>
      <c r="F108" s="12">
        <v>7551545703518.1367</v>
      </c>
      <c r="G108" s="13">
        <v>105.021460146207</v>
      </c>
      <c r="H108" s="13">
        <v>105.4</v>
      </c>
      <c r="I108" s="14">
        <v>0.8425506333884909</v>
      </c>
      <c r="J108" s="13">
        <v>5.6</v>
      </c>
      <c r="K108" s="15">
        <v>0</v>
      </c>
    </row>
    <row r="109" spans="1:11" x14ac:dyDescent="0.25">
      <c r="A109" s="9" t="s">
        <v>15</v>
      </c>
      <c r="B109" s="1">
        <v>2012</v>
      </c>
      <c r="C109" s="10">
        <v>3879500927</v>
      </c>
      <c r="D109" s="11">
        <v>2957</v>
      </c>
      <c r="E109" s="12">
        <v>59937796648.215759</v>
      </c>
      <c r="F109" s="12">
        <v>8532185381696.4346</v>
      </c>
      <c r="G109" s="13">
        <v>106.562737479798</v>
      </c>
      <c r="H109" s="13">
        <v>108.2</v>
      </c>
      <c r="I109" s="14">
        <v>101.49233797423858</v>
      </c>
      <c r="J109" s="13">
        <v>5.6</v>
      </c>
      <c r="K109" s="15">
        <v>0</v>
      </c>
    </row>
    <row r="110" spans="1:11" x14ac:dyDescent="0.25">
      <c r="A110" s="9" t="s">
        <v>15</v>
      </c>
      <c r="B110" s="1">
        <v>2013</v>
      </c>
      <c r="C110" s="10">
        <v>6715586196</v>
      </c>
      <c r="D110" s="11">
        <v>2957</v>
      </c>
      <c r="E110" s="12">
        <v>60269732854.827026</v>
      </c>
      <c r="F110" s="12">
        <v>9570471111847.8164</v>
      </c>
      <c r="G110" s="13">
        <v>112.576114138628</v>
      </c>
      <c r="H110" s="13">
        <v>111</v>
      </c>
      <c r="I110" s="14">
        <v>150.67896522258869</v>
      </c>
      <c r="J110" s="13">
        <v>5.6</v>
      </c>
      <c r="K110" s="15">
        <v>0</v>
      </c>
    </row>
    <row r="111" spans="1:11" x14ac:dyDescent="0.25">
      <c r="A111" s="9" t="s">
        <v>15</v>
      </c>
      <c r="B111" s="1">
        <v>2014</v>
      </c>
      <c r="C111" s="10">
        <v>9475698799</v>
      </c>
      <c r="D111" s="11">
        <v>2957</v>
      </c>
      <c r="E111" s="12">
        <v>65531374199.666321</v>
      </c>
      <c r="F111" s="12">
        <v>10475624944290.115</v>
      </c>
      <c r="G111" s="13">
        <v>118.152345882585</v>
      </c>
      <c r="H111" s="13">
        <v>113.2</v>
      </c>
      <c r="I111" s="14">
        <v>160.22728207389176</v>
      </c>
      <c r="J111" s="13">
        <v>5.6</v>
      </c>
      <c r="K111" s="15">
        <v>0</v>
      </c>
    </row>
    <row r="112" spans="1:11" x14ac:dyDescent="0.25">
      <c r="A112" s="9" t="s">
        <v>15</v>
      </c>
      <c r="B112" s="1">
        <v>2015</v>
      </c>
      <c r="C112" s="10">
        <v>10946494217</v>
      </c>
      <c r="D112" s="11">
        <v>2957</v>
      </c>
      <c r="E112" s="12">
        <v>59607290407.619133</v>
      </c>
      <c r="F112" s="12">
        <v>11061572618594.75</v>
      </c>
      <c r="G112" s="13">
        <v>129.32267176060699</v>
      </c>
      <c r="H112" s="13">
        <v>114.9</v>
      </c>
      <c r="I112" s="14">
        <v>186.69087808526064</v>
      </c>
      <c r="J112" s="13">
        <v>5.6</v>
      </c>
      <c r="K112" s="15">
        <v>0</v>
      </c>
    </row>
    <row r="113" spans="1:11" x14ac:dyDescent="0.25">
      <c r="A113" s="9" t="s">
        <v>15</v>
      </c>
      <c r="B113" s="1">
        <v>2016</v>
      </c>
      <c r="C113" s="10">
        <v>12322097878</v>
      </c>
      <c r="D113" s="11">
        <v>2957</v>
      </c>
      <c r="E113" s="12">
        <v>63298361996.215302</v>
      </c>
      <c r="F113" s="12">
        <v>11233313730288.52</v>
      </c>
      <c r="G113" s="13">
        <v>138.28321370608501</v>
      </c>
      <c r="H113" s="13">
        <v>102</v>
      </c>
      <c r="I113" s="14">
        <v>185.84899345950737</v>
      </c>
      <c r="J113" s="13">
        <v>5.6</v>
      </c>
      <c r="K113" s="15">
        <v>0</v>
      </c>
    </row>
    <row r="114" spans="1:11" x14ac:dyDescent="0.25">
      <c r="A114" s="9" t="s">
        <v>15</v>
      </c>
      <c r="B114" s="1">
        <v>2017</v>
      </c>
      <c r="C114" s="10">
        <v>13513079998</v>
      </c>
      <c r="D114" s="11">
        <v>2957</v>
      </c>
      <c r="E114" s="12">
        <v>66053040483.001625</v>
      </c>
      <c r="F114" s="12">
        <v>12310491333980.889</v>
      </c>
      <c r="G114" s="13">
        <v>144.606264199701</v>
      </c>
      <c r="H114" s="13">
        <v>103.6</v>
      </c>
      <c r="I114" s="14">
        <v>201.273561427164</v>
      </c>
      <c r="J114" s="13">
        <v>6.5</v>
      </c>
      <c r="K114" s="15">
        <v>0</v>
      </c>
    </row>
    <row r="115" spans="1:11" x14ac:dyDescent="0.25">
      <c r="A115" s="9" t="s">
        <v>15</v>
      </c>
      <c r="B115" s="1">
        <v>2018</v>
      </c>
      <c r="C115" s="10">
        <v>15396889998</v>
      </c>
      <c r="D115" s="11">
        <v>2957</v>
      </c>
      <c r="E115" s="12">
        <v>67860515989.517044</v>
      </c>
      <c r="F115" s="12">
        <v>13894907857925.922</v>
      </c>
      <c r="G115" s="13">
        <v>154.54408193357801</v>
      </c>
      <c r="H115" s="13">
        <v>105.8</v>
      </c>
      <c r="I115" s="14">
        <v>216.11505892074959</v>
      </c>
      <c r="J115" s="13">
        <v>6.5</v>
      </c>
      <c r="K115" s="15">
        <v>0</v>
      </c>
    </row>
    <row r="116" spans="1:11" x14ac:dyDescent="0.25">
      <c r="A116" s="9" t="s">
        <v>15</v>
      </c>
      <c r="B116" s="1">
        <v>2019</v>
      </c>
      <c r="C116" s="10">
        <v>18712319999</v>
      </c>
      <c r="D116" s="11">
        <v>2957</v>
      </c>
      <c r="E116" s="12">
        <v>75065106227.689194</v>
      </c>
      <c r="F116" s="12">
        <v>14279968506242.775</v>
      </c>
      <c r="G116" s="13">
        <v>168.18270065936699</v>
      </c>
      <c r="H116" s="13">
        <v>108.8</v>
      </c>
      <c r="I116" s="14">
        <v>219.76990490318684</v>
      </c>
      <c r="J116" s="13">
        <v>6.5</v>
      </c>
      <c r="K116" s="15">
        <v>0</v>
      </c>
    </row>
    <row r="117" spans="1:11" x14ac:dyDescent="0.25">
      <c r="A117" s="9" t="s">
        <v>15</v>
      </c>
      <c r="B117" s="1">
        <v>2020</v>
      </c>
      <c r="C117" s="10">
        <v>18903370002</v>
      </c>
      <c r="D117" s="11">
        <v>2957</v>
      </c>
      <c r="E117" s="12">
        <v>79006113643.190552</v>
      </c>
      <c r="F117" s="12">
        <v>14687744162801.033</v>
      </c>
      <c r="G117" s="13">
        <v>168.18270065936699</v>
      </c>
      <c r="H117" s="13">
        <v>111.6</v>
      </c>
      <c r="I117" s="14">
        <v>200.21239852318146</v>
      </c>
      <c r="J117" s="13">
        <v>6.5</v>
      </c>
      <c r="K117" s="15">
        <v>0</v>
      </c>
    </row>
    <row r="118" spans="1:11" x14ac:dyDescent="0.25">
      <c r="A118" s="9" t="s">
        <v>15</v>
      </c>
      <c r="B118" s="1">
        <v>2021</v>
      </c>
      <c r="C118" s="10">
        <v>18616609006</v>
      </c>
      <c r="D118" s="11">
        <v>2957</v>
      </c>
      <c r="E118" s="12">
        <v>66345291160.168251</v>
      </c>
      <c r="F118" s="12">
        <v>17820459508852.184</v>
      </c>
      <c r="G118" s="13">
        <v>168.18270065936699</v>
      </c>
      <c r="H118" s="13">
        <v>112.6</v>
      </c>
      <c r="I118" s="14">
        <v>214.23856163989856</v>
      </c>
      <c r="J118" s="13">
        <v>6.5</v>
      </c>
      <c r="K118" s="15">
        <v>0</v>
      </c>
    </row>
    <row r="119" spans="1:11" x14ac:dyDescent="0.25">
      <c r="A119" s="9" t="s">
        <v>15</v>
      </c>
      <c r="B119" s="1">
        <v>2022</v>
      </c>
      <c r="C119" s="10">
        <v>25144196866</v>
      </c>
      <c r="D119" s="11">
        <v>2957</v>
      </c>
      <c r="E119" s="12">
        <v>62253049891.644943</v>
      </c>
      <c r="F119" s="12">
        <v>17963171479205.328</v>
      </c>
      <c r="G119" s="13">
        <v>168.18270065936699</v>
      </c>
      <c r="H119" s="13">
        <v>114.8</v>
      </c>
      <c r="I119" s="14">
        <v>205.07447556109523</v>
      </c>
      <c r="J119" s="13">
        <v>6.5</v>
      </c>
      <c r="K119" s="15">
        <v>0</v>
      </c>
    </row>
    <row r="120" spans="1:11" x14ac:dyDescent="0.25">
      <c r="A120" s="9" t="s">
        <v>15</v>
      </c>
      <c r="B120" s="39">
        <v>2023</v>
      </c>
      <c r="C120" s="10">
        <v>21187525286</v>
      </c>
      <c r="D120" s="11">
        <v>2957</v>
      </c>
      <c r="E120" s="12">
        <v>66757619000</v>
      </c>
      <c r="F120" s="12">
        <v>18270356654533.215</v>
      </c>
      <c r="G120" s="13">
        <v>168.18270065936699</v>
      </c>
      <c r="H120" s="13">
        <v>132.22</v>
      </c>
      <c r="I120" s="14">
        <v>211.37055561263901</v>
      </c>
      <c r="J120" s="13">
        <v>6.5</v>
      </c>
      <c r="K120" s="15">
        <v>0</v>
      </c>
    </row>
    <row r="121" spans="1:11" x14ac:dyDescent="0.25">
      <c r="A121" s="9" t="s">
        <v>15</v>
      </c>
      <c r="B121" s="39">
        <v>2024</v>
      </c>
      <c r="C121" s="10">
        <v>16311473988</v>
      </c>
      <c r="D121" s="11">
        <v>2957</v>
      </c>
      <c r="E121" s="12">
        <v>74079772652.428574</v>
      </c>
      <c r="F121" s="12">
        <v>18743803170827.164</v>
      </c>
      <c r="G121" s="13">
        <v>168.18270065936699</v>
      </c>
      <c r="H121" s="13">
        <v>132.51</v>
      </c>
      <c r="I121" s="14">
        <v>213.801594131596</v>
      </c>
      <c r="J121" s="13">
        <v>6.5</v>
      </c>
      <c r="K121" s="15">
        <v>0</v>
      </c>
    </row>
    <row r="122" spans="1:11" x14ac:dyDescent="0.25">
      <c r="A122" s="17" t="s">
        <v>16</v>
      </c>
      <c r="B122" s="1">
        <v>2005</v>
      </c>
      <c r="C122" s="10">
        <v>7049277455</v>
      </c>
      <c r="D122" s="11">
        <v>2854</v>
      </c>
      <c r="E122" s="12">
        <v>107419977318.16573</v>
      </c>
      <c r="F122" s="12">
        <v>2285961149904.2568</v>
      </c>
      <c r="G122" s="13">
        <v>80.025769999999994</v>
      </c>
      <c r="H122" s="13">
        <v>86.509317656014602</v>
      </c>
      <c r="I122" s="14">
        <v>6.722402112036999</v>
      </c>
      <c r="J122" s="13">
        <v>6.3</v>
      </c>
      <c r="K122" s="15">
        <v>0</v>
      </c>
    </row>
    <row r="123" spans="1:11" x14ac:dyDescent="0.25">
      <c r="A123" s="17" t="s">
        <v>16</v>
      </c>
      <c r="B123" s="1">
        <v>2006</v>
      </c>
      <c r="C123" s="10">
        <v>8289443151</v>
      </c>
      <c r="D123" s="11">
        <v>2854</v>
      </c>
      <c r="E123" s="12">
        <v>127652926368.06917</v>
      </c>
      <c r="F123" s="12">
        <v>2752118657221.6401</v>
      </c>
      <c r="G123" s="13">
        <v>84.385739999999998</v>
      </c>
      <c r="H123" s="13">
        <v>87.936230977228007</v>
      </c>
      <c r="I123" s="14">
        <v>6.4356517671276512</v>
      </c>
      <c r="J123" s="13">
        <v>6.3</v>
      </c>
      <c r="K123" s="15">
        <v>0</v>
      </c>
    </row>
    <row r="124" spans="1:11" x14ac:dyDescent="0.25">
      <c r="A124" s="17" t="s">
        <v>16</v>
      </c>
      <c r="B124" s="1">
        <v>2007</v>
      </c>
      <c r="C124" s="10">
        <v>9751098760</v>
      </c>
      <c r="D124" s="11">
        <v>2854</v>
      </c>
      <c r="E124" s="12">
        <v>155980408673.40317</v>
      </c>
      <c r="F124" s="12">
        <v>3550327803024.6865</v>
      </c>
      <c r="G124" s="13">
        <v>86.844930000000005</v>
      </c>
      <c r="H124" s="13">
        <v>92.171912848883395</v>
      </c>
      <c r="I124" s="14">
        <v>6.0661444663956416</v>
      </c>
      <c r="J124" s="13">
        <v>6.3</v>
      </c>
      <c r="K124" s="15">
        <v>0</v>
      </c>
    </row>
    <row r="125" spans="1:11" x14ac:dyDescent="0.25">
      <c r="A125" s="17" t="s">
        <v>16</v>
      </c>
      <c r="B125" s="1">
        <v>2008</v>
      </c>
      <c r="C125" s="10">
        <v>10030273090</v>
      </c>
      <c r="D125" s="11">
        <v>2854</v>
      </c>
      <c r="E125" s="12">
        <v>181624626327.36093</v>
      </c>
      <c r="F125" s="12">
        <v>4594336785752.0635</v>
      </c>
      <c r="G125" s="13">
        <v>93.975520000000003</v>
      </c>
      <c r="H125" s="13">
        <v>97.633333989666298</v>
      </c>
      <c r="I125" s="14">
        <v>6.3786858909242143</v>
      </c>
      <c r="J125" s="13">
        <v>6.3</v>
      </c>
      <c r="K125" s="15">
        <v>0</v>
      </c>
    </row>
    <row r="126" spans="1:11" x14ac:dyDescent="0.25">
      <c r="A126" s="17" t="s">
        <v>16</v>
      </c>
      <c r="B126" s="1">
        <v>2009</v>
      </c>
      <c r="C126" s="10">
        <v>7046855366</v>
      </c>
      <c r="D126" s="11">
        <v>2854</v>
      </c>
      <c r="E126" s="12">
        <v>175974755881.37238</v>
      </c>
      <c r="F126" s="12">
        <v>5101691124358.4053</v>
      </c>
      <c r="G126" s="13">
        <v>97.959620000000001</v>
      </c>
      <c r="H126" s="13">
        <v>96.922396038956094</v>
      </c>
      <c r="I126" s="14">
        <v>6.9794736687380716</v>
      </c>
      <c r="J126" s="13">
        <v>6.3</v>
      </c>
      <c r="K126" s="15">
        <v>0</v>
      </c>
    </row>
    <row r="127" spans="1:11" x14ac:dyDescent="0.25">
      <c r="A127" s="17" t="s">
        <v>16</v>
      </c>
      <c r="B127" s="1">
        <v>2010</v>
      </c>
      <c r="C127" s="10">
        <v>10771219470</v>
      </c>
      <c r="D127" s="11">
        <v>2854</v>
      </c>
      <c r="E127" s="12">
        <v>208368893151.14383</v>
      </c>
      <c r="F127" s="12">
        <v>6087191746738.5713</v>
      </c>
      <c r="G127" s="13">
        <v>101.6216</v>
      </c>
      <c r="H127" s="13">
        <v>100</v>
      </c>
      <c r="I127" s="14">
        <v>6.6629057115473511</v>
      </c>
      <c r="J127" s="13">
        <v>6.3</v>
      </c>
      <c r="K127" s="15">
        <v>0</v>
      </c>
    </row>
    <row r="128" spans="1:11" x14ac:dyDescent="0.25">
      <c r="A128" s="17" t="s">
        <v>16</v>
      </c>
      <c r="B128" s="1">
        <v>2011</v>
      </c>
      <c r="C128" s="10">
        <v>12767418141</v>
      </c>
      <c r="D128" s="11">
        <v>2854</v>
      </c>
      <c r="E128" s="12">
        <v>234216730291.32016</v>
      </c>
      <c r="F128" s="12">
        <v>7551545703518.1367</v>
      </c>
      <c r="G128" s="13">
        <v>106.44329999999999</v>
      </c>
      <c r="H128" s="13">
        <v>105.4</v>
      </c>
      <c r="I128" s="14">
        <v>6.7033035925986004</v>
      </c>
      <c r="J128" s="13">
        <v>6.1</v>
      </c>
      <c r="K128" s="15">
        <v>1</v>
      </c>
    </row>
    <row r="129" spans="1:11" x14ac:dyDescent="0.25">
      <c r="A129" s="17" t="s">
        <v>16</v>
      </c>
      <c r="B129" s="1">
        <v>2012</v>
      </c>
      <c r="C129" s="10">
        <v>13488574851</v>
      </c>
      <c r="D129" s="11">
        <v>2854</v>
      </c>
      <c r="E129" s="12">
        <v>261920540962.62988</v>
      </c>
      <c r="F129" s="12">
        <v>8532185381696.4346</v>
      </c>
      <c r="G129" s="13">
        <v>109.80459999999999</v>
      </c>
      <c r="H129" s="13">
        <v>108.2</v>
      </c>
      <c r="I129" s="14">
        <v>6.689887224481871</v>
      </c>
      <c r="J129" s="13">
        <v>6.2</v>
      </c>
      <c r="K129" s="15">
        <v>2</v>
      </c>
    </row>
    <row r="130" spans="1:11" x14ac:dyDescent="0.25">
      <c r="A130" s="17" t="s">
        <v>16</v>
      </c>
      <c r="B130" s="1">
        <v>2013</v>
      </c>
      <c r="C130" s="10">
        <v>15419073215</v>
      </c>
      <c r="D130" s="11">
        <v>2854</v>
      </c>
      <c r="E130" s="12">
        <v>283902828588.71771</v>
      </c>
      <c r="F130" s="12">
        <v>9570471111847.8164</v>
      </c>
      <c r="G130" s="13">
        <v>112.6503</v>
      </c>
      <c r="H130" s="13">
        <v>111</v>
      </c>
      <c r="I130" s="14">
        <v>6.8508457657228492</v>
      </c>
      <c r="J130" s="13">
        <v>6.3</v>
      </c>
      <c r="K130" s="15">
        <v>0</v>
      </c>
    </row>
    <row r="131" spans="1:11" x14ac:dyDescent="0.25">
      <c r="A131" s="17" t="s">
        <v>16</v>
      </c>
      <c r="B131" s="1">
        <v>2014</v>
      </c>
      <c r="C131" s="10">
        <v>18683842454</v>
      </c>
      <c r="D131" s="11">
        <v>2854</v>
      </c>
      <c r="E131" s="12">
        <v>297483555338.04431</v>
      </c>
      <c r="F131" s="12">
        <v>10475624944290.115</v>
      </c>
      <c r="G131" s="13">
        <v>116.69889999999999</v>
      </c>
      <c r="H131" s="13">
        <v>113.2</v>
      </c>
      <c r="I131" s="14">
        <v>7.2264394183095879</v>
      </c>
      <c r="J131" s="13">
        <v>6.3</v>
      </c>
      <c r="K131" s="15">
        <v>2</v>
      </c>
    </row>
    <row r="132" spans="1:11" x14ac:dyDescent="0.25">
      <c r="A132" s="17" t="s">
        <v>16</v>
      </c>
      <c r="B132" s="1">
        <v>2015</v>
      </c>
      <c r="C132" s="10">
        <v>18308305574</v>
      </c>
      <c r="D132" s="11">
        <v>2854</v>
      </c>
      <c r="E132" s="12">
        <v>306445871242.32245</v>
      </c>
      <c r="F132" s="12">
        <v>11061572618594.75</v>
      </c>
      <c r="G132" s="13">
        <v>117.5043</v>
      </c>
      <c r="H132" s="13">
        <v>114.9</v>
      </c>
      <c r="I132" s="14">
        <v>7.3067720122070616</v>
      </c>
      <c r="J132" s="13">
        <v>6.3</v>
      </c>
      <c r="K132" s="15">
        <v>0</v>
      </c>
    </row>
    <row r="133" spans="1:11" x14ac:dyDescent="0.25">
      <c r="A133" s="17" t="s">
        <v>16</v>
      </c>
      <c r="B133" s="1">
        <v>2016</v>
      </c>
      <c r="C133" s="10">
        <v>47706842457</v>
      </c>
      <c r="D133" s="11">
        <v>2854</v>
      </c>
      <c r="E133" s="12">
        <v>318627003016.73126</v>
      </c>
      <c r="F133" s="12">
        <v>11233313730288.52</v>
      </c>
      <c r="G133" s="13">
        <v>116.876642442093</v>
      </c>
      <c r="H133" s="13">
        <v>102</v>
      </c>
      <c r="I133" s="14">
        <v>7.1476593161353188</v>
      </c>
      <c r="J133" s="13">
        <v>6.3</v>
      </c>
      <c r="K133" s="15">
        <v>0</v>
      </c>
    </row>
    <row r="134" spans="1:11" x14ac:dyDescent="0.25">
      <c r="A134" s="17" t="s">
        <v>16</v>
      </c>
      <c r="B134" s="1">
        <v>2017</v>
      </c>
      <c r="C134" s="10">
        <v>51385785673</v>
      </c>
      <c r="D134" s="11">
        <v>2854</v>
      </c>
      <c r="E134" s="12">
        <v>328480736802.75983</v>
      </c>
      <c r="F134" s="12">
        <v>12310491333980.889</v>
      </c>
      <c r="G134" s="13">
        <v>120.21135245870499</v>
      </c>
      <c r="H134" s="13">
        <v>103.6</v>
      </c>
      <c r="I134" s="14">
        <v>7.4575449398366445</v>
      </c>
      <c r="J134" s="13">
        <v>6.3</v>
      </c>
      <c r="K134" s="15">
        <v>0</v>
      </c>
    </row>
    <row r="135" spans="1:11" x14ac:dyDescent="0.25">
      <c r="A135" s="17" t="s">
        <v>16</v>
      </c>
      <c r="B135" s="1">
        <v>2018</v>
      </c>
      <c r="C135" s="10">
        <v>55806593350</v>
      </c>
      <c r="D135" s="11">
        <v>2854</v>
      </c>
      <c r="E135" s="12">
        <v>346841896587.31256</v>
      </c>
      <c r="F135" s="12">
        <v>13894907857925.922</v>
      </c>
      <c r="G135" s="13">
        <v>126.59378983285301</v>
      </c>
      <c r="H135" s="13">
        <v>105.8</v>
      </c>
      <c r="I135" s="14">
        <v>7.9597597962474156</v>
      </c>
      <c r="J135" s="13">
        <v>6.2</v>
      </c>
      <c r="K135" s="15">
        <v>0</v>
      </c>
    </row>
    <row r="136" spans="1:11" x14ac:dyDescent="0.25">
      <c r="A136" s="17" t="s">
        <v>16</v>
      </c>
      <c r="B136" s="1">
        <v>2019</v>
      </c>
      <c r="C136" s="10">
        <v>60928279050</v>
      </c>
      <c r="D136" s="11">
        <v>2854</v>
      </c>
      <c r="E136" s="12">
        <v>376823402239.13593</v>
      </c>
      <c r="F136" s="12">
        <v>14279968506242.775</v>
      </c>
      <c r="G136" s="13">
        <v>129.62199600738401</v>
      </c>
      <c r="H136" s="13">
        <v>108.8</v>
      </c>
      <c r="I136" s="14">
        <v>7.4975240345257266</v>
      </c>
      <c r="J136" s="13">
        <v>6.1</v>
      </c>
      <c r="K136" s="15">
        <v>1</v>
      </c>
    </row>
    <row r="137" spans="1:11" x14ac:dyDescent="0.25">
      <c r="A137" s="17" t="s">
        <v>16</v>
      </c>
      <c r="B137" s="1">
        <v>2020</v>
      </c>
      <c r="C137" s="10">
        <v>61322080940</v>
      </c>
      <c r="D137" s="11">
        <v>2854</v>
      </c>
      <c r="E137" s="12">
        <v>361751145451.59674</v>
      </c>
      <c r="F137" s="12">
        <v>14687744162801.033</v>
      </c>
      <c r="G137" s="13">
        <v>132.72406086909899</v>
      </c>
      <c r="H137" s="13">
        <v>111.6</v>
      </c>
      <c r="I137" s="14">
        <v>7.1910983322526238</v>
      </c>
      <c r="J137" s="13">
        <v>6.1</v>
      </c>
      <c r="K137" s="15">
        <v>1</v>
      </c>
    </row>
    <row r="138" spans="1:11" x14ac:dyDescent="0.25">
      <c r="A138" s="17" t="s">
        <v>16</v>
      </c>
      <c r="B138" s="1">
        <v>2021</v>
      </c>
      <c r="C138" s="10">
        <v>81950999001</v>
      </c>
      <c r="D138" s="11">
        <v>2854</v>
      </c>
      <c r="E138" s="12">
        <v>394087359848.10999</v>
      </c>
      <c r="F138" s="12">
        <v>17820459508852.184</v>
      </c>
      <c r="G138" s="13">
        <v>137.93637393606301</v>
      </c>
      <c r="H138" s="13">
        <v>112.6</v>
      </c>
      <c r="I138" s="14">
        <v>7.63758525225753</v>
      </c>
      <c r="J138" s="13">
        <v>6.1</v>
      </c>
      <c r="K138" s="15">
        <v>1</v>
      </c>
    </row>
    <row r="139" spans="1:11" x14ac:dyDescent="0.25">
      <c r="A139" s="17" t="s">
        <v>16</v>
      </c>
      <c r="B139" s="1">
        <v>2022</v>
      </c>
      <c r="C139" s="10">
        <v>88029077820</v>
      </c>
      <c r="D139" s="11">
        <v>2854</v>
      </c>
      <c r="E139" s="12">
        <v>404353369604.6311</v>
      </c>
      <c r="F139" s="12">
        <v>17963171479205.328</v>
      </c>
      <c r="G139" s="13">
        <v>145.965868357033</v>
      </c>
      <c r="H139" s="13">
        <v>114.8</v>
      </c>
      <c r="I139" s="14">
        <v>8.0861670590696821</v>
      </c>
      <c r="J139" s="13">
        <v>6.1</v>
      </c>
      <c r="K139" s="15">
        <v>1</v>
      </c>
    </row>
    <row r="140" spans="1:11" x14ac:dyDescent="0.25">
      <c r="A140" s="17" t="s">
        <v>16</v>
      </c>
      <c r="B140" s="39">
        <v>2023</v>
      </c>
      <c r="C140" s="10">
        <v>73574431689</v>
      </c>
      <c r="D140" s="11">
        <v>2854</v>
      </c>
      <c r="E140" s="12">
        <v>437055627244.42401</v>
      </c>
      <c r="F140" s="12">
        <v>18270356654533.215</v>
      </c>
      <c r="G140" s="13">
        <v>154.69174468573499</v>
      </c>
      <c r="H140" s="13">
        <v>132.22</v>
      </c>
      <c r="I140" s="14">
        <v>8.5333522746770107</v>
      </c>
      <c r="J140" s="13">
        <v>6.1</v>
      </c>
      <c r="K140" s="15">
        <v>0</v>
      </c>
    </row>
    <row r="141" spans="1:11" x14ac:dyDescent="0.25">
      <c r="A141" s="17" t="s">
        <v>16</v>
      </c>
      <c r="B141" s="39">
        <v>2024</v>
      </c>
      <c r="C141" s="10">
        <v>71745233041</v>
      </c>
      <c r="D141" s="11">
        <v>2854</v>
      </c>
      <c r="E141" s="12">
        <v>461617509782.35455</v>
      </c>
      <c r="F141" s="12">
        <v>18743803170827.164</v>
      </c>
      <c r="G141" s="13">
        <v>159.661379209096</v>
      </c>
      <c r="H141" s="13">
        <v>132.51</v>
      </c>
      <c r="I141" s="14">
        <v>8.9808866380855399</v>
      </c>
      <c r="J141" s="13">
        <v>6.1</v>
      </c>
      <c r="K141" s="15">
        <v>1</v>
      </c>
    </row>
    <row r="142" spans="1:11" x14ac:dyDescent="0.25">
      <c r="A142" s="9" t="s">
        <v>17</v>
      </c>
      <c r="B142" s="1">
        <v>2005</v>
      </c>
      <c r="C142" s="10">
        <v>40277804544</v>
      </c>
      <c r="D142" s="11">
        <v>4480</v>
      </c>
      <c r="E142" s="12">
        <v>127807848728.39835</v>
      </c>
      <c r="F142" s="12">
        <v>2285961149904.2568</v>
      </c>
      <c r="G142" s="13">
        <v>89.72363</v>
      </c>
      <c r="H142" s="13">
        <v>86.509317656014602</v>
      </c>
      <c r="I142" s="14">
        <v>0.20311608248806584</v>
      </c>
      <c r="J142" s="13">
        <v>0</v>
      </c>
      <c r="K142" s="15">
        <v>0</v>
      </c>
    </row>
    <row r="143" spans="1:11" x14ac:dyDescent="0.25">
      <c r="A143" s="9" t="s">
        <v>17</v>
      </c>
      <c r="B143" s="1">
        <v>2006</v>
      </c>
      <c r="C143" s="10">
        <v>53756649937</v>
      </c>
      <c r="D143" s="11">
        <v>4480</v>
      </c>
      <c r="E143" s="12">
        <v>148627286361.35068</v>
      </c>
      <c r="F143" s="12">
        <v>2752118657221.6401</v>
      </c>
      <c r="G143" s="13">
        <v>90.587580000000003</v>
      </c>
      <c r="H143" s="13">
        <v>87.936230977228007</v>
      </c>
      <c r="I143" s="14">
        <v>0.19927831217523689</v>
      </c>
      <c r="J143" s="13">
        <v>0</v>
      </c>
      <c r="K143" s="15">
        <v>0</v>
      </c>
    </row>
    <row r="144" spans="1:11" x14ac:dyDescent="0.25">
      <c r="A144" s="9" t="s">
        <v>17</v>
      </c>
      <c r="B144" s="1">
        <v>2007</v>
      </c>
      <c r="C144" s="10">
        <v>60816853135</v>
      </c>
      <c r="D144" s="11">
        <v>4480</v>
      </c>
      <c r="E144" s="12">
        <v>180941701357.97046</v>
      </c>
      <c r="F144" s="12">
        <v>3550327803024.6865</v>
      </c>
      <c r="G144" s="13">
        <v>92.494339999999994</v>
      </c>
      <c r="H144" s="13">
        <v>92.171912848883395</v>
      </c>
      <c r="I144" s="14">
        <v>0.19810650387625686</v>
      </c>
      <c r="J144" s="13">
        <v>0</v>
      </c>
      <c r="K144" s="15">
        <v>0</v>
      </c>
    </row>
    <row r="145" spans="1:11" x14ac:dyDescent="0.25">
      <c r="A145" s="9" t="s">
        <v>17</v>
      </c>
      <c r="B145" s="1">
        <v>2008</v>
      </c>
      <c r="C145" s="10">
        <v>64836019716</v>
      </c>
      <c r="D145" s="11">
        <v>4480</v>
      </c>
      <c r="E145" s="12">
        <v>193617323539.20279</v>
      </c>
      <c r="F145" s="12">
        <v>4594336785752.0635</v>
      </c>
      <c r="G145" s="13">
        <v>98.624660000000006</v>
      </c>
      <c r="H145" s="13">
        <v>97.633333989666298</v>
      </c>
      <c r="I145" s="14">
        <v>0.20361650323695735</v>
      </c>
      <c r="J145" s="13">
        <v>0</v>
      </c>
      <c r="K145" s="15">
        <v>0</v>
      </c>
    </row>
    <row r="146" spans="1:11" x14ac:dyDescent="0.25">
      <c r="A146" s="9" t="s">
        <v>17</v>
      </c>
      <c r="B146" s="1">
        <v>2009</v>
      </c>
      <c r="C146" s="10">
        <v>52320849273</v>
      </c>
      <c r="D146" s="11">
        <v>4480</v>
      </c>
      <c r="E146" s="12">
        <v>194150283771.56647</v>
      </c>
      <c r="F146" s="12">
        <v>5101691124358.4053</v>
      </c>
      <c r="G146" s="13">
        <v>99.213179999999994</v>
      </c>
      <c r="H146" s="13">
        <v>96.922396038956094</v>
      </c>
      <c r="I146" s="14">
        <v>0.21291555109190732</v>
      </c>
      <c r="J146" s="13">
        <v>0</v>
      </c>
      <c r="K146" s="15">
        <v>0</v>
      </c>
    </row>
    <row r="147" spans="1:11" x14ac:dyDescent="0.25">
      <c r="A147" s="9" t="s">
        <v>17</v>
      </c>
      <c r="B147" s="1">
        <v>2010</v>
      </c>
      <c r="C147" s="10">
        <v>70161214138</v>
      </c>
      <c r="D147" s="11">
        <v>4480</v>
      </c>
      <c r="E147" s="12">
        <v>239807980591.23965</v>
      </c>
      <c r="F147" s="12">
        <v>6087191746738.5713</v>
      </c>
      <c r="G147" s="13">
        <v>102.0146</v>
      </c>
      <c r="H147" s="13">
        <v>100</v>
      </c>
      <c r="I147" s="14">
        <v>0.201396477380445</v>
      </c>
      <c r="J147" s="13">
        <v>0</v>
      </c>
      <c r="K147" s="15">
        <v>0</v>
      </c>
    </row>
    <row r="148" spans="1:11" x14ac:dyDescent="0.25">
      <c r="A148" s="9" t="s">
        <v>17</v>
      </c>
      <c r="B148" s="1">
        <v>2011</v>
      </c>
      <c r="C148" s="10">
        <v>80784048287</v>
      </c>
      <c r="D148" s="11">
        <v>4480</v>
      </c>
      <c r="E148" s="12">
        <v>279356499090.45807</v>
      </c>
      <c r="F148" s="12">
        <v>7551545703518.1367</v>
      </c>
      <c r="G148" s="13">
        <v>107.3681</v>
      </c>
      <c r="H148" s="13">
        <v>105.4</v>
      </c>
      <c r="I148" s="14">
        <v>0.19465811426152371</v>
      </c>
      <c r="J148" s="13">
        <v>0</v>
      </c>
      <c r="K148" s="15">
        <v>0</v>
      </c>
    </row>
    <row r="149" spans="1:11" x14ac:dyDescent="0.25">
      <c r="A149" s="9" t="s">
        <v>17</v>
      </c>
      <c r="B149" s="1">
        <v>2012</v>
      </c>
      <c r="C149" s="10">
        <v>83262565656</v>
      </c>
      <c r="D149" s="11">
        <v>4480</v>
      </c>
      <c r="E149" s="12">
        <v>295092888076.58948</v>
      </c>
      <c r="F149" s="12">
        <v>8532185381696.4346</v>
      </c>
      <c r="G149" s="13">
        <v>112.2809</v>
      </c>
      <c r="H149" s="13">
        <v>108.2</v>
      </c>
      <c r="I149" s="14">
        <v>0.19797375043153553</v>
      </c>
      <c r="J149" s="13">
        <v>0.2</v>
      </c>
      <c r="K149" s="15">
        <v>0</v>
      </c>
    </row>
    <row r="150" spans="1:11" x14ac:dyDescent="0.25">
      <c r="A150" s="9" t="s">
        <v>17</v>
      </c>
      <c r="B150" s="1">
        <v>2013</v>
      </c>
      <c r="C150" s="10">
        <v>92222812244</v>
      </c>
      <c r="D150" s="11">
        <v>4480</v>
      </c>
      <c r="E150" s="12">
        <v>307576360584.99158</v>
      </c>
      <c r="F150" s="12">
        <v>9570471111847.8164</v>
      </c>
      <c r="G150" s="13">
        <v>114.92910000000001</v>
      </c>
      <c r="H150" s="13">
        <v>111</v>
      </c>
      <c r="I150" s="14">
        <v>0.20196074961368041</v>
      </c>
      <c r="J150" s="13">
        <v>0.2</v>
      </c>
      <c r="K150" s="15">
        <v>0</v>
      </c>
    </row>
    <row r="151" spans="1:11" x14ac:dyDescent="0.25">
      <c r="A151" s="9" t="s">
        <v>17</v>
      </c>
      <c r="B151" s="1">
        <v>2014</v>
      </c>
      <c r="C151" s="10">
        <v>95844940411</v>
      </c>
      <c r="D151" s="11">
        <v>4480</v>
      </c>
      <c r="E151" s="12">
        <v>314863580758.45465</v>
      </c>
      <c r="F151" s="12">
        <v>10475624944290.115</v>
      </c>
      <c r="G151" s="13">
        <v>116.1073</v>
      </c>
      <c r="H151" s="13">
        <v>113.2</v>
      </c>
      <c r="I151" s="14">
        <v>0.20624458251072994</v>
      </c>
      <c r="J151" s="13">
        <v>0.2</v>
      </c>
      <c r="K151" s="15">
        <v>0</v>
      </c>
    </row>
    <row r="152" spans="1:11" x14ac:dyDescent="0.25">
      <c r="A152" s="9" t="s">
        <v>17</v>
      </c>
      <c r="B152" s="1">
        <v>2015</v>
      </c>
      <c r="C152" s="10">
        <v>90445159724</v>
      </c>
      <c r="D152" s="11">
        <v>4480</v>
      </c>
      <c r="E152" s="12">
        <v>307998545269.39795</v>
      </c>
      <c r="F152" s="12">
        <v>11061572618594.75</v>
      </c>
      <c r="G152" s="13">
        <v>115.5005</v>
      </c>
      <c r="H152" s="13">
        <v>114.9</v>
      </c>
      <c r="I152" s="14">
        <v>0.22076716188407122</v>
      </c>
      <c r="J152" s="13">
        <v>0.2</v>
      </c>
      <c r="K152" s="15">
        <v>0</v>
      </c>
    </row>
    <row r="153" spans="1:11" x14ac:dyDescent="0.25">
      <c r="A153" s="9" t="s">
        <v>17</v>
      </c>
      <c r="B153" s="1">
        <v>2016</v>
      </c>
      <c r="C153" s="10">
        <v>73378222341</v>
      </c>
      <c r="D153" s="11">
        <v>4480</v>
      </c>
      <c r="E153" s="12">
        <v>319646468521.49695</v>
      </c>
      <c r="F153" s="12">
        <v>11233313730288.52</v>
      </c>
      <c r="G153" s="13">
        <v>112.645030137861</v>
      </c>
      <c r="H153" s="13">
        <v>102</v>
      </c>
      <c r="I153" s="14">
        <v>0.20792399328616973</v>
      </c>
      <c r="J153" s="13">
        <v>0</v>
      </c>
      <c r="K153" s="15">
        <v>0</v>
      </c>
    </row>
    <row r="154" spans="1:11" x14ac:dyDescent="0.25">
      <c r="A154" s="9" t="s">
        <v>17</v>
      </c>
      <c r="B154" s="1">
        <v>2017</v>
      </c>
      <c r="C154" s="10">
        <v>79054174137</v>
      </c>
      <c r="D154" s="11">
        <v>4480</v>
      </c>
      <c r="E154" s="12">
        <v>343673334902.32996</v>
      </c>
      <c r="F154" s="12">
        <v>12310491333980.889</v>
      </c>
      <c r="G154" s="13">
        <v>113.29472520839001</v>
      </c>
      <c r="H154" s="13">
        <v>103.6</v>
      </c>
      <c r="I154" s="14">
        <v>0.20431647283562418</v>
      </c>
      <c r="J154" s="13">
        <v>0</v>
      </c>
      <c r="K154" s="15">
        <v>0</v>
      </c>
    </row>
    <row r="155" spans="1:11" x14ac:dyDescent="0.25">
      <c r="A155" s="9" t="s">
        <v>17</v>
      </c>
      <c r="B155" s="1">
        <v>2018</v>
      </c>
      <c r="C155" s="10">
        <v>83704558951</v>
      </c>
      <c r="D155" s="11">
        <v>4480</v>
      </c>
      <c r="E155" s="12">
        <v>377123710560.6142</v>
      </c>
      <c r="F155" s="12">
        <v>13894907857925.922</v>
      </c>
      <c r="G155" s="13">
        <v>113.791844579179</v>
      </c>
      <c r="H155" s="13">
        <v>105.8</v>
      </c>
      <c r="I155" s="14">
        <v>0.20387702497787014</v>
      </c>
      <c r="J155" s="13">
        <v>0</v>
      </c>
      <c r="K155" s="15">
        <v>0</v>
      </c>
    </row>
    <row r="156" spans="1:11" x14ac:dyDescent="0.25">
      <c r="A156" s="9" t="s">
        <v>17</v>
      </c>
      <c r="B156" s="1">
        <v>2019</v>
      </c>
      <c r="C156" s="10">
        <v>90194837826</v>
      </c>
      <c r="D156" s="11">
        <v>4480</v>
      </c>
      <c r="E156" s="12">
        <v>376161998830.04755</v>
      </c>
      <c r="F156" s="12">
        <v>14279968506242.775</v>
      </c>
      <c r="G156" s="13">
        <v>114.43798879705901</v>
      </c>
      <c r="H156" s="13">
        <v>108.8</v>
      </c>
      <c r="I156" s="14">
        <v>0.19746414412910929</v>
      </c>
      <c r="J156" s="13">
        <v>0</v>
      </c>
      <c r="K156" s="15">
        <v>0</v>
      </c>
    </row>
    <row r="157" spans="1:11" x14ac:dyDescent="0.25">
      <c r="A157" s="9" t="s">
        <v>17</v>
      </c>
      <c r="B157" s="1">
        <v>2020</v>
      </c>
      <c r="C157" s="10">
        <v>89092392781</v>
      </c>
      <c r="D157" s="11">
        <v>4480</v>
      </c>
      <c r="E157" s="12">
        <v>349165858544.56848</v>
      </c>
      <c r="F157" s="12">
        <v>14687744162801.033</v>
      </c>
      <c r="G157" s="13">
        <v>114.241027439213</v>
      </c>
      <c r="H157" s="13">
        <v>111.6</v>
      </c>
      <c r="I157" s="14">
        <v>0.19994032733263253</v>
      </c>
      <c r="J157" s="13">
        <v>0</v>
      </c>
      <c r="K157" s="15">
        <v>0</v>
      </c>
    </row>
    <row r="158" spans="1:11" x14ac:dyDescent="0.25">
      <c r="A158" s="9" t="s">
        <v>17</v>
      </c>
      <c r="B158" s="1">
        <v>2021</v>
      </c>
      <c r="C158" s="10">
        <v>93780588991</v>
      </c>
      <c r="D158" s="11">
        <v>4480</v>
      </c>
      <c r="E158" s="12">
        <v>436591382250.46393</v>
      </c>
      <c r="F158" s="12">
        <v>17820459508852.184</v>
      </c>
      <c r="G158" s="13">
        <v>116.886967483066</v>
      </c>
      <c r="H158" s="13">
        <v>112.6</v>
      </c>
      <c r="I158" s="14">
        <v>0.20832508976245492</v>
      </c>
      <c r="J158" s="13">
        <v>0</v>
      </c>
      <c r="K158" s="15">
        <v>0</v>
      </c>
    </row>
    <row r="159" spans="1:11" x14ac:dyDescent="0.25">
      <c r="A159" s="9" t="s">
        <v>17</v>
      </c>
      <c r="B159" s="1">
        <v>2022</v>
      </c>
      <c r="C159" s="10">
        <v>115947780905</v>
      </c>
      <c r="D159" s="11">
        <v>4480</v>
      </c>
      <c r="E159" s="12">
        <v>509017841146.55676</v>
      </c>
      <c r="F159" s="12">
        <v>17963171479205.328</v>
      </c>
      <c r="G159" s="13">
        <v>124.053253912595</v>
      </c>
      <c r="H159" s="13">
        <v>114.8</v>
      </c>
      <c r="I159" s="14">
        <v>0.20463628387589802</v>
      </c>
      <c r="J159" s="13">
        <v>0</v>
      </c>
      <c r="K159" s="15">
        <v>0</v>
      </c>
    </row>
    <row r="160" spans="1:11" x14ac:dyDescent="0.25">
      <c r="A160" s="9" t="s">
        <v>17</v>
      </c>
      <c r="B160" s="39">
        <v>2023</v>
      </c>
      <c r="C160" s="10">
        <v>111033506511</v>
      </c>
      <c r="D160" s="11">
        <v>4480</v>
      </c>
      <c r="E160" s="12">
        <v>505439514078.01947</v>
      </c>
      <c r="F160" s="12">
        <v>18270356654533.215</v>
      </c>
      <c r="G160" s="13">
        <v>130.04964535859099</v>
      </c>
      <c r="H160" s="13">
        <v>132.22</v>
      </c>
      <c r="I160" s="14">
        <v>0.20899652353359399</v>
      </c>
      <c r="J160" s="13">
        <v>0</v>
      </c>
      <c r="K160" s="15">
        <v>0</v>
      </c>
    </row>
    <row r="161" spans="1:11" x14ac:dyDescent="0.25">
      <c r="A161" s="9" t="s">
        <v>17</v>
      </c>
      <c r="B161" s="39">
        <v>2024</v>
      </c>
      <c r="C161" s="10">
        <v>111542100783</v>
      </c>
      <c r="D161" s="11">
        <v>4480</v>
      </c>
      <c r="E161" s="12">
        <v>547386645891.84668</v>
      </c>
      <c r="F161" s="12">
        <v>18743803170827.164</v>
      </c>
      <c r="G161" s="13">
        <v>133.15719624674799</v>
      </c>
      <c r="H161" s="13">
        <v>132.51</v>
      </c>
      <c r="I161" s="14">
        <v>0.21134450180522699</v>
      </c>
      <c r="J161" s="13">
        <v>0</v>
      </c>
      <c r="K161" s="15">
        <v>0</v>
      </c>
    </row>
    <row r="162" spans="1:11" x14ac:dyDescent="0.25">
      <c r="A162" s="9" t="s">
        <v>18</v>
      </c>
      <c r="B162" s="1">
        <v>2005</v>
      </c>
      <c r="C162" s="10">
        <v>20258461792</v>
      </c>
      <c r="D162" s="11">
        <v>3297.79</v>
      </c>
      <c r="E162" s="12">
        <v>189318408468.59521</v>
      </c>
      <c r="F162" s="12">
        <v>2285961149904.2568</v>
      </c>
      <c r="G162" s="13">
        <v>87.896919999999994</v>
      </c>
      <c r="H162" s="13">
        <v>86.509317656014602</v>
      </c>
      <c r="I162" s="14">
        <v>4.9082958157950918</v>
      </c>
      <c r="J162" s="13">
        <v>10</v>
      </c>
      <c r="K162" s="15">
        <v>0</v>
      </c>
    </row>
    <row r="163" spans="1:11" x14ac:dyDescent="0.25">
      <c r="A163" s="9" t="s">
        <v>18</v>
      </c>
      <c r="B163" s="1">
        <v>2006</v>
      </c>
      <c r="C163" s="10">
        <v>25611371986</v>
      </c>
      <c r="D163" s="11">
        <v>3297.79</v>
      </c>
      <c r="E163" s="12">
        <v>221758296021.62064</v>
      </c>
      <c r="F163" s="12">
        <v>2752118657221.6401</v>
      </c>
      <c r="G163" s="13">
        <v>92.038659999999993</v>
      </c>
      <c r="H163" s="13">
        <v>87.936230977228007</v>
      </c>
      <c r="I163" s="14">
        <v>4.7510222864749085</v>
      </c>
      <c r="J163" s="13">
        <v>10</v>
      </c>
      <c r="K163" s="15">
        <v>0</v>
      </c>
    </row>
    <row r="164" spans="1:11" x14ac:dyDescent="0.25">
      <c r="A164" s="9" t="s">
        <v>18</v>
      </c>
      <c r="B164" s="1">
        <v>2007</v>
      </c>
      <c r="C164" s="10">
        <v>31225545903</v>
      </c>
      <c r="D164" s="11">
        <v>3297.79</v>
      </c>
      <c r="E164" s="12">
        <v>262942621455.05292</v>
      </c>
      <c r="F164" s="12">
        <v>3550327803024.6865</v>
      </c>
      <c r="G164" s="13">
        <v>94.032830000000004</v>
      </c>
      <c r="H164" s="13">
        <v>92.171912848883395</v>
      </c>
      <c r="I164" s="14">
        <v>4.5373687975306058</v>
      </c>
      <c r="J164" s="13">
        <v>10.5</v>
      </c>
      <c r="K164" s="15">
        <v>0</v>
      </c>
    </row>
    <row r="165" spans="1:11" x14ac:dyDescent="0.25">
      <c r="A165" s="9" t="s">
        <v>18</v>
      </c>
      <c r="B165" s="1">
        <v>2008</v>
      </c>
      <c r="C165" s="10">
        <v>36177827836</v>
      </c>
      <c r="D165" s="11">
        <v>3297.79</v>
      </c>
      <c r="E165" s="12">
        <v>291382982430.95148</v>
      </c>
      <c r="F165" s="12">
        <v>4594336785752.0635</v>
      </c>
      <c r="G165" s="13">
        <v>99.190830000000005</v>
      </c>
      <c r="H165" s="13">
        <v>97.633333989666298</v>
      </c>
      <c r="I165" s="14">
        <v>4.7942084678545704</v>
      </c>
      <c r="J165" s="13">
        <v>10.5</v>
      </c>
      <c r="K165" s="15">
        <v>0</v>
      </c>
    </row>
    <row r="166" spans="1:11" x14ac:dyDescent="0.25">
      <c r="A166" s="9" t="s">
        <v>18</v>
      </c>
      <c r="B166" s="1">
        <v>2009</v>
      </c>
      <c r="C166" s="10">
        <v>33233325893</v>
      </c>
      <c r="D166" s="11">
        <v>3297.79</v>
      </c>
      <c r="E166" s="12">
        <v>281710630187.31909</v>
      </c>
      <c r="F166" s="12">
        <v>5101691124358.4053</v>
      </c>
      <c r="G166" s="13">
        <v>98.327960000000004</v>
      </c>
      <c r="H166" s="13">
        <v>96.922396038956094</v>
      </c>
      <c r="I166" s="14">
        <v>5.0188385341474584</v>
      </c>
      <c r="J166" s="13">
        <v>9.9</v>
      </c>
      <c r="K166" s="15">
        <v>0</v>
      </c>
    </row>
    <row r="167" spans="1:11" x14ac:dyDescent="0.25">
      <c r="A167" s="9" t="s">
        <v>18</v>
      </c>
      <c r="B167" s="1">
        <v>2010</v>
      </c>
      <c r="C167" s="10">
        <v>46005025397</v>
      </c>
      <c r="D167" s="11">
        <v>3297.79</v>
      </c>
      <c r="E167" s="12">
        <v>341104766329.16962</v>
      </c>
      <c r="F167" s="12">
        <v>6087191746738.5713</v>
      </c>
      <c r="G167" s="13">
        <v>101.5714</v>
      </c>
      <c r="H167" s="13">
        <v>100</v>
      </c>
      <c r="I167" s="14">
        <v>4.6801249500775262</v>
      </c>
      <c r="J167" s="13">
        <v>9.9</v>
      </c>
      <c r="K167" s="15">
        <v>0</v>
      </c>
    </row>
    <row r="168" spans="1:11" x14ac:dyDescent="0.25">
      <c r="A168" s="9" t="s">
        <v>18</v>
      </c>
      <c r="B168" s="1">
        <v>2011</v>
      </c>
      <c r="C168" s="10">
        <v>56521925337</v>
      </c>
      <c r="D168" s="11">
        <v>3297.79</v>
      </c>
      <c r="E168" s="12">
        <v>370818739623.62195</v>
      </c>
      <c r="F168" s="12">
        <v>7551545703518.1367</v>
      </c>
      <c r="G168" s="13">
        <v>105.4418</v>
      </c>
      <c r="H168" s="13">
        <v>105.4</v>
      </c>
      <c r="I168" s="14">
        <v>4.7190150636683104</v>
      </c>
      <c r="J168" s="13">
        <v>9.8000000000000007</v>
      </c>
      <c r="K168" s="15">
        <v>0</v>
      </c>
    </row>
    <row r="169" spans="1:11" x14ac:dyDescent="0.25">
      <c r="A169" s="9" t="s">
        <v>18</v>
      </c>
      <c r="B169" s="1">
        <v>2012</v>
      </c>
      <c r="C169" s="10">
        <v>64029317872</v>
      </c>
      <c r="D169" s="11">
        <v>3297.79</v>
      </c>
      <c r="E169" s="12">
        <v>397558325278.5791</v>
      </c>
      <c r="F169" s="12">
        <v>8532185381696.4346</v>
      </c>
      <c r="G169" s="13">
        <v>108.6181</v>
      </c>
      <c r="H169" s="13">
        <v>108.2</v>
      </c>
      <c r="I169" s="14">
        <v>4.9241845319966284</v>
      </c>
      <c r="J169" s="13">
        <v>9.8000000000000007</v>
      </c>
      <c r="K169" s="15">
        <v>0</v>
      </c>
    </row>
    <row r="170" spans="1:11" x14ac:dyDescent="0.25">
      <c r="A170" s="9" t="s">
        <v>18</v>
      </c>
      <c r="B170" s="1">
        <v>2013</v>
      </c>
      <c r="C170" s="10">
        <v>64401097842</v>
      </c>
      <c r="D170" s="11">
        <v>3297.79</v>
      </c>
      <c r="E170" s="12">
        <v>420333654592.54706</v>
      </c>
      <c r="F170" s="12">
        <v>9570471111847.8164</v>
      </c>
      <c r="G170" s="13">
        <v>110.9919</v>
      </c>
      <c r="H170" s="13">
        <v>111</v>
      </c>
      <c r="I170" s="14">
        <v>4.9591938468885868</v>
      </c>
      <c r="J170" s="13">
        <v>11.4</v>
      </c>
      <c r="K170" s="15">
        <v>0</v>
      </c>
    </row>
    <row r="171" spans="1:11" x14ac:dyDescent="0.25">
      <c r="A171" s="9" t="s">
        <v>18</v>
      </c>
      <c r="B171" s="1">
        <v>2014</v>
      </c>
      <c r="C171" s="10">
        <v>63353061563</v>
      </c>
      <c r="D171" s="11">
        <v>3297.79</v>
      </c>
      <c r="E171" s="12">
        <v>407339040197.65125</v>
      </c>
      <c r="F171" s="12">
        <v>10475624944290.115</v>
      </c>
      <c r="G171" s="13">
        <v>113.09439999999999</v>
      </c>
      <c r="H171" s="13">
        <v>113.2</v>
      </c>
      <c r="I171" s="14">
        <v>5.2869181688524902</v>
      </c>
      <c r="J171" s="13">
        <v>11.6</v>
      </c>
      <c r="K171" s="15">
        <v>1</v>
      </c>
    </row>
    <row r="172" spans="1:11" x14ac:dyDescent="0.25">
      <c r="A172" s="9" t="s">
        <v>18</v>
      </c>
      <c r="B172" s="1">
        <v>2015</v>
      </c>
      <c r="C172" s="10">
        <v>64258140727</v>
      </c>
      <c r="D172" s="11">
        <v>3297.79</v>
      </c>
      <c r="E172" s="12">
        <v>401296238228.08392</v>
      </c>
      <c r="F172" s="12">
        <v>11061572618594.75</v>
      </c>
      <c r="G172" s="13">
        <v>112.0772</v>
      </c>
      <c r="H172" s="13">
        <v>114.9</v>
      </c>
      <c r="I172" s="14">
        <v>5.4994426268922689</v>
      </c>
      <c r="J172" s="13">
        <v>11</v>
      </c>
      <c r="K172" s="15">
        <v>1</v>
      </c>
    </row>
    <row r="173" spans="1:11" x14ac:dyDescent="0.25">
      <c r="A173" s="9" t="s">
        <v>18</v>
      </c>
      <c r="B173" s="1">
        <v>2016</v>
      </c>
      <c r="C173" s="10">
        <v>76872362508</v>
      </c>
      <c r="D173" s="11">
        <v>3297.79</v>
      </c>
      <c r="E173" s="12">
        <v>413366349747.50812</v>
      </c>
      <c r="F173" s="12">
        <v>11233313730288.52</v>
      </c>
      <c r="G173" s="13">
        <v>110.550946791117</v>
      </c>
      <c r="H173" s="13">
        <v>102</v>
      </c>
      <c r="I173" s="14">
        <v>5.3121380248835406</v>
      </c>
      <c r="J173" s="13">
        <v>11</v>
      </c>
      <c r="K173" s="15">
        <v>3</v>
      </c>
    </row>
    <row r="174" spans="1:11" x14ac:dyDescent="0.25">
      <c r="A174" s="9" t="s">
        <v>18</v>
      </c>
      <c r="B174" s="1">
        <v>2017</v>
      </c>
      <c r="C174" s="10">
        <v>80148104539</v>
      </c>
      <c r="D174" s="11">
        <v>3297.79</v>
      </c>
      <c r="E174" s="12">
        <v>456356813536.76367</v>
      </c>
      <c r="F174" s="12">
        <v>12310491333980.889</v>
      </c>
      <c r="G174" s="13">
        <v>111.286809151122</v>
      </c>
      <c r="H174" s="13">
        <v>103.6</v>
      </c>
      <c r="I174" s="14">
        <v>5.0216068822075517</v>
      </c>
      <c r="J174" s="13">
        <v>9.6</v>
      </c>
      <c r="K174" s="15">
        <v>2</v>
      </c>
    </row>
    <row r="175" spans="1:11" x14ac:dyDescent="0.25">
      <c r="A175" s="9" t="s">
        <v>18</v>
      </c>
      <c r="B175" s="1">
        <v>2018</v>
      </c>
      <c r="C175" s="10">
        <v>88029400369</v>
      </c>
      <c r="D175" s="11">
        <v>3297.79</v>
      </c>
      <c r="E175" s="12">
        <v>506754208404.48468</v>
      </c>
      <c r="F175" s="12">
        <v>13894907857925.922</v>
      </c>
      <c r="G175" s="13">
        <v>112.47078677806201</v>
      </c>
      <c r="H175" s="13">
        <v>105.8</v>
      </c>
      <c r="I175" s="14">
        <v>4.8836812084718355</v>
      </c>
      <c r="J175" s="13">
        <v>9.6</v>
      </c>
      <c r="K175" s="15">
        <v>1</v>
      </c>
    </row>
    <row r="176" spans="1:11" x14ac:dyDescent="0.25">
      <c r="A176" s="9" t="s">
        <v>18</v>
      </c>
      <c r="B176" s="1">
        <v>2019</v>
      </c>
      <c r="C176" s="10">
        <v>91748860993</v>
      </c>
      <c r="D176" s="11">
        <v>3297.79</v>
      </c>
      <c r="E176" s="12">
        <v>543976691793.88586</v>
      </c>
      <c r="F176" s="12">
        <v>14279968506242.775</v>
      </c>
      <c r="G176" s="13">
        <v>113.265649996346</v>
      </c>
      <c r="H176" s="13">
        <v>108.8</v>
      </c>
      <c r="I176" s="14">
        <v>4.4941915854251215</v>
      </c>
      <c r="J176" s="13">
        <v>10.199999999999999</v>
      </c>
      <c r="K176" s="15">
        <v>0</v>
      </c>
    </row>
    <row r="177" spans="1:11" x14ac:dyDescent="0.25">
      <c r="A177" s="9" t="s">
        <v>18</v>
      </c>
      <c r="B177" s="1">
        <v>2020</v>
      </c>
      <c r="C177" s="10">
        <v>98795620319</v>
      </c>
      <c r="D177" s="11">
        <v>3297.79</v>
      </c>
      <c r="E177" s="12">
        <v>500461898480.24554</v>
      </c>
      <c r="F177" s="12">
        <v>14687744162801.033</v>
      </c>
      <c r="G177" s="13">
        <v>112.30749378783101</v>
      </c>
      <c r="H177" s="13">
        <v>111.6</v>
      </c>
      <c r="I177" s="14">
        <v>4.5348106944052242</v>
      </c>
      <c r="J177" s="13">
        <v>10.199999999999999</v>
      </c>
      <c r="K177" s="15">
        <v>1</v>
      </c>
    </row>
    <row r="178" spans="1:11" x14ac:dyDescent="0.25">
      <c r="A178" s="9" t="s">
        <v>18</v>
      </c>
      <c r="B178" s="1">
        <v>2021</v>
      </c>
      <c r="C178" s="10">
        <v>131089003207</v>
      </c>
      <c r="D178" s="11">
        <v>3297.79</v>
      </c>
      <c r="E178" s="12">
        <v>506194668789.93658</v>
      </c>
      <c r="F178" s="12">
        <v>17820459508852.184</v>
      </c>
      <c r="G178" s="13">
        <v>113.68932004005801</v>
      </c>
      <c r="H178" s="13">
        <v>112.6</v>
      </c>
      <c r="I178" s="14">
        <v>4.9584767421285534</v>
      </c>
      <c r="J178" s="13">
        <v>11.5</v>
      </c>
      <c r="K178" s="15">
        <v>1</v>
      </c>
    </row>
    <row r="179" spans="1:11" x14ac:dyDescent="0.25">
      <c r="A179" s="9" t="s">
        <v>18</v>
      </c>
      <c r="B179" s="1">
        <v>2022</v>
      </c>
      <c r="C179" s="10">
        <v>135332136013</v>
      </c>
      <c r="D179" s="11">
        <v>3297.79</v>
      </c>
      <c r="E179" s="12">
        <v>495644697587.66052</v>
      </c>
      <c r="F179" s="12">
        <v>17963171479205.328</v>
      </c>
      <c r="G179" s="13">
        <v>111.858148553436</v>
      </c>
      <c r="H179" s="13">
        <v>114.8</v>
      </c>
      <c r="I179" s="14">
        <v>5.2041750267992315</v>
      </c>
      <c r="J179" s="13">
        <v>11.5</v>
      </c>
      <c r="K179" s="15">
        <v>0</v>
      </c>
    </row>
    <row r="180" spans="1:11" x14ac:dyDescent="0.25">
      <c r="A180" s="9" t="s">
        <v>18</v>
      </c>
      <c r="B180" s="39">
        <v>2023</v>
      </c>
      <c r="C180" s="10">
        <v>127948438875</v>
      </c>
      <c r="D180" s="11">
        <v>3297.79</v>
      </c>
      <c r="E180" s="12">
        <v>515906283940.93262</v>
      </c>
      <c r="F180" s="12">
        <v>18270356654533.215</v>
      </c>
      <c r="G180" s="13">
        <v>121.34154026791801</v>
      </c>
      <c r="H180" s="13">
        <v>132.22</v>
      </c>
      <c r="I180" s="14">
        <v>5.4363176051509496</v>
      </c>
      <c r="J180" s="13">
        <v>12.15</v>
      </c>
      <c r="K180" s="15">
        <v>0</v>
      </c>
    </row>
    <row r="181" spans="1:11" x14ac:dyDescent="0.25">
      <c r="A181" s="9" t="s">
        <v>18</v>
      </c>
      <c r="B181" s="39">
        <v>2024</v>
      </c>
      <c r="C181" s="10">
        <v>134235613223</v>
      </c>
      <c r="D181" s="11">
        <v>3297.79</v>
      </c>
      <c r="E181" s="12">
        <v>526411265427.68256</v>
      </c>
      <c r="F181" s="12">
        <v>18743803170827.164</v>
      </c>
      <c r="G181" s="13">
        <v>122.99882958702401</v>
      </c>
      <c r="H181" s="13">
        <v>132.51</v>
      </c>
      <c r="I181" s="14">
        <v>5.6916792423355096</v>
      </c>
      <c r="J181" s="13">
        <v>12.67</v>
      </c>
      <c r="K181" s="15">
        <v>0</v>
      </c>
    </row>
    <row r="182" spans="1:11" x14ac:dyDescent="0.25">
      <c r="A182" s="9" t="s">
        <v>19</v>
      </c>
      <c r="B182" s="1">
        <v>2005</v>
      </c>
      <c r="C182" s="10">
        <v>9127800000</v>
      </c>
      <c r="D182" s="11">
        <v>2327.42</v>
      </c>
      <c r="E182" s="12">
        <v>57633255738.199158</v>
      </c>
      <c r="F182" s="12">
        <v>2285961149904.2568</v>
      </c>
      <c r="G182" s="13">
        <v>62.45232</v>
      </c>
      <c r="H182" s="13">
        <v>86.509317656014602</v>
      </c>
      <c r="I182" s="14">
        <v>1935.3556021551558</v>
      </c>
      <c r="J182" s="13">
        <v>16.8</v>
      </c>
      <c r="K182" s="15">
        <v>1</v>
      </c>
    </row>
    <row r="183" spans="1:11" x14ac:dyDescent="0.25">
      <c r="A183" s="9" t="s">
        <v>19</v>
      </c>
      <c r="B183" s="1">
        <v>2006</v>
      </c>
      <c r="C183" s="10">
        <v>10634099999</v>
      </c>
      <c r="D183" s="11">
        <v>2327.42</v>
      </c>
      <c r="E183" s="12">
        <v>66371664817.043625</v>
      </c>
      <c r="F183" s="12">
        <v>2752118657221.6401</v>
      </c>
      <c r="G183" s="13">
        <v>67.075149999999994</v>
      </c>
      <c r="H183" s="13">
        <v>87.936230977228007</v>
      </c>
      <c r="I183" s="14">
        <v>2005.9413933303144</v>
      </c>
      <c r="J183" s="13">
        <v>16.8</v>
      </c>
      <c r="K183" s="15">
        <v>0</v>
      </c>
    </row>
    <row r="184" spans="1:11" x14ac:dyDescent="0.25">
      <c r="A184" s="9" t="s">
        <v>19</v>
      </c>
      <c r="B184" s="1">
        <v>2007</v>
      </c>
      <c r="C184" s="10">
        <v>16356100002</v>
      </c>
      <c r="D184" s="11">
        <v>2327.42</v>
      </c>
      <c r="E184" s="12">
        <v>77414425532.245163</v>
      </c>
      <c r="F184" s="12">
        <v>3550327803024.6865</v>
      </c>
      <c r="G184" s="13">
        <v>72.637349999999998</v>
      </c>
      <c r="H184" s="13">
        <v>92.171912848883395</v>
      </c>
      <c r="I184" s="14">
        <v>2116.9971998147889</v>
      </c>
      <c r="J184" s="13">
        <v>16.8</v>
      </c>
      <c r="K184" s="15">
        <v>3</v>
      </c>
    </row>
    <row r="185" spans="1:11" x14ac:dyDescent="0.25">
      <c r="A185" s="9" t="s">
        <v>19</v>
      </c>
      <c r="B185" s="1">
        <v>2008</v>
      </c>
      <c r="C185" s="10">
        <v>20823700000</v>
      </c>
      <c r="D185" s="11">
        <v>2327.42</v>
      </c>
      <c r="E185" s="12">
        <v>99130304099.127426</v>
      </c>
      <c r="F185" s="12">
        <v>4594336785752.0635</v>
      </c>
      <c r="G185" s="13">
        <v>89.429259999999999</v>
      </c>
      <c r="H185" s="13">
        <v>97.633333989666298</v>
      </c>
      <c r="I185" s="14">
        <v>2346.1015117314068</v>
      </c>
      <c r="J185" s="13">
        <v>16.8</v>
      </c>
      <c r="K185" s="15">
        <v>2</v>
      </c>
    </row>
    <row r="186" spans="1:11" x14ac:dyDescent="0.25">
      <c r="A186" s="9" t="s">
        <v>19</v>
      </c>
      <c r="B186" s="1">
        <v>2009</v>
      </c>
      <c r="C186" s="10">
        <v>21349999997</v>
      </c>
      <c r="D186" s="11">
        <v>2327.42</v>
      </c>
      <c r="E186" s="12">
        <v>106014659565.21387</v>
      </c>
      <c r="F186" s="12">
        <v>5101691124358.4053</v>
      </c>
      <c r="G186" s="13">
        <v>95.436949999999996</v>
      </c>
      <c r="H186" s="13">
        <v>96.922396038956094</v>
      </c>
      <c r="I186" s="14">
        <v>2498.0301600749567</v>
      </c>
      <c r="J186" s="13">
        <v>10.9</v>
      </c>
      <c r="K186" s="15">
        <v>1</v>
      </c>
    </row>
    <row r="187" spans="1:11" x14ac:dyDescent="0.25">
      <c r="A187" s="9" t="s">
        <v>19</v>
      </c>
      <c r="B187" s="1">
        <v>2010</v>
      </c>
      <c r="C187" s="10">
        <v>27327627255</v>
      </c>
      <c r="D187" s="11">
        <v>2327.42</v>
      </c>
      <c r="E187" s="12">
        <v>147201173196.97876</v>
      </c>
      <c r="F187" s="12">
        <v>6087191746738.5713</v>
      </c>
      <c r="G187" s="13">
        <v>104.2229</v>
      </c>
      <c r="H187" s="13">
        <v>100</v>
      </c>
      <c r="I187" s="14">
        <v>2749.2137443487732</v>
      </c>
      <c r="J187" s="13">
        <v>9.8000000000000007</v>
      </c>
      <c r="K187" s="15">
        <v>0</v>
      </c>
    </row>
    <row r="188" spans="1:11" x14ac:dyDescent="0.25">
      <c r="A188" s="9" t="s">
        <v>19</v>
      </c>
      <c r="B188" s="1">
        <v>2011</v>
      </c>
      <c r="C188" s="10">
        <v>35718750000</v>
      </c>
      <c r="D188" s="11">
        <v>2327.42</v>
      </c>
      <c r="E188" s="12">
        <v>172595049183.92471</v>
      </c>
      <c r="F188" s="12">
        <v>7551545703518.1367</v>
      </c>
      <c r="G188" s="13">
        <v>123.68770000000001</v>
      </c>
      <c r="H188" s="13">
        <v>105.4</v>
      </c>
      <c r="I188" s="14">
        <v>3174.1658679787611</v>
      </c>
      <c r="J188" s="13">
        <v>9.8000000000000007</v>
      </c>
      <c r="K188" s="15">
        <v>1</v>
      </c>
    </row>
    <row r="189" spans="1:11" x14ac:dyDescent="0.25">
      <c r="A189" s="9" t="s">
        <v>19</v>
      </c>
      <c r="B189" s="1">
        <v>2012</v>
      </c>
      <c r="C189" s="10">
        <v>41174084872</v>
      </c>
      <c r="D189" s="11">
        <v>2327.42</v>
      </c>
      <c r="E189" s="12">
        <v>195590661129.24908</v>
      </c>
      <c r="F189" s="12">
        <v>8532185381696.4346</v>
      </c>
      <c r="G189" s="13">
        <v>134.9374</v>
      </c>
      <c r="H189" s="13">
        <v>108.2</v>
      </c>
      <c r="I189" s="14">
        <v>3299.5725306920335</v>
      </c>
      <c r="J189" s="13">
        <v>9.5</v>
      </c>
      <c r="K189" s="15">
        <v>1</v>
      </c>
    </row>
    <row r="190" spans="1:11" x14ac:dyDescent="0.25">
      <c r="A190" s="9" t="s">
        <v>19</v>
      </c>
      <c r="B190" s="1">
        <v>2013</v>
      </c>
      <c r="C190" s="10">
        <v>50213705000</v>
      </c>
      <c r="D190" s="11">
        <v>2327.42</v>
      </c>
      <c r="E190" s="12">
        <v>213708811665.34036</v>
      </c>
      <c r="F190" s="12">
        <v>9570471111847.8164</v>
      </c>
      <c r="G190" s="13">
        <v>143.83580000000001</v>
      </c>
      <c r="H190" s="13">
        <v>111</v>
      </c>
      <c r="I190" s="14">
        <v>3378.6690018185227</v>
      </c>
      <c r="J190" s="13">
        <v>9.5</v>
      </c>
      <c r="K190" s="15">
        <v>0</v>
      </c>
    </row>
    <row r="191" spans="1:11" x14ac:dyDescent="0.25">
      <c r="A191" s="9" t="s">
        <v>19</v>
      </c>
      <c r="B191" s="1">
        <v>2014</v>
      </c>
      <c r="C191" s="10">
        <v>58773566445</v>
      </c>
      <c r="D191" s="11">
        <v>2327.42</v>
      </c>
      <c r="E191" s="12">
        <v>233451469642.51938</v>
      </c>
      <c r="F191" s="12">
        <v>10475624944290.115</v>
      </c>
      <c r="G191" s="13">
        <v>149.70679999999999</v>
      </c>
      <c r="H191" s="13">
        <v>113.2</v>
      </c>
      <c r="I191" s="14">
        <v>3442.3743584995987</v>
      </c>
      <c r="J191" s="13">
        <v>9.5</v>
      </c>
      <c r="K191" s="15">
        <v>1</v>
      </c>
    </row>
    <row r="192" spans="1:11" x14ac:dyDescent="0.25">
      <c r="A192" s="9" t="s">
        <v>19</v>
      </c>
      <c r="B192" s="1">
        <v>2015</v>
      </c>
      <c r="C192" s="10">
        <v>66008809090</v>
      </c>
      <c r="D192" s="11">
        <v>2327.42</v>
      </c>
      <c r="E192" s="12">
        <v>239258328381.74139</v>
      </c>
      <c r="F192" s="12">
        <v>11061572618594.75</v>
      </c>
      <c r="G192" s="13">
        <v>150.6533</v>
      </c>
      <c r="H192" s="13">
        <v>114.9</v>
      </c>
      <c r="I192" s="14">
        <v>3484.1600907483225</v>
      </c>
      <c r="J192" s="13">
        <v>9.5</v>
      </c>
      <c r="K192" s="15">
        <v>1</v>
      </c>
    </row>
    <row r="193" spans="1:11" x14ac:dyDescent="0.25">
      <c r="A193" s="9" t="s">
        <v>19</v>
      </c>
      <c r="B193" s="1">
        <v>2016</v>
      </c>
      <c r="C193" s="10">
        <v>99228001231</v>
      </c>
      <c r="D193" s="11">
        <v>2327.42</v>
      </c>
      <c r="E193" s="12">
        <v>257096001177.98184</v>
      </c>
      <c r="F193" s="12">
        <v>11233313730288.52</v>
      </c>
      <c r="G193" s="13">
        <v>148.40733280127799</v>
      </c>
      <c r="H193" s="13">
        <v>102</v>
      </c>
      <c r="I193" s="14">
        <v>3301.2377189554932</v>
      </c>
      <c r="J193" s="13">
        <v>9.6</v>
      </c>
      <c r="K193" s="15">
        <v>0</v>
      </c>
    </row>
    <row r="194" spans="1:11" x14ac:dyDescent="0.25">
      <c r="A194" s="9" t="s">
        <v>19</v>
      </c>
      <c r="B194" s="1">
        <v>2017</v>
      </c>
      <c r="C194" s="10">
        <v>122926874706</v>
      </c>
      <c r="D194" s="11">
        <v>2327.42</v>
      </c>
      <c r="E194" s="12">
        <v>281353605986.90344</v>
      </c>
      <c r="F194" s="12">
        <v>12310491333980.889</v>
      </c>
      <c r="G194" s="13">
        <v>153.63165215668499</v>
      </c>
      <c r="H194" s="13">
        <v>103.6</v>
      </c>
      <c r="I194" s="14">
        <v>3309.793945913475</v>
      </c>
      <c r="J194" s="13">
        <v>9.6</v>
      </c>
      <c r="K194" s="15">
        <v>0</v>
      </c>
    </row>
    <row r="195" spans="1:11" x14ac:dyDescent="0.25">
      <c r="A195" s="9" t="s">
        <v>19</v>
      </c>
      <c r="B195" s="1">
        <v>2018</v>
      </c>
      <c r="C195" s="10">
        <v>148326296919</v>
      </c>
      <c r="D195" s="11">
        <v>2327.42</v>
      </c>
      <c r="E195" s="12">
        <v>310106478394.65887</v>
      </c>
      <c r="F195" s="12">
        <v>13894907857925.922</v>
      </c>
      <c r="G195" s="13">
        <v>159.06964122458299</v>
      </c>
      <c r="H195" s="13">
        <v>105.8</v>
      </c>
      <c r="I195" s="14">
        <v>3416.2932730828497</v>
      </c>
      <c r="J195" s="13">
        <v>9.5</v>
      </c>
      <c r="K195" s="15">
        <v>0</v>
      </c>
    </row>
    <row r="196" spans="1:11" x14ac:dyDescent="0.25">
      <c r="A196" s="9" t="s">
        <v>19</v>
      </c>
      <c r="B196" s="1">
        <v>2019</v>
      </c>
      <c r="C196" s="10">
        <v>162034630508</v>
      </c>
      <c r="D196" s="11">
        <v>2327.42</v>
      </c>
      <c r="E196" s="12">
        <v>334365270496.66705</v>
      </c>
      <c r="F196" s="12">
        <v>14279968506242.775</v>
      </c>
      <c r="G196" s="13">
        <v>163.516947912918</v>
      </c>
      <c r="H196" s="13">
        <v>108.8</v>
      </c>
      <c r="I196" s="14">
        <v>3336.5600836574631</v>
      </c>
      <c r="J196" s="13">
        <v>9.6</v>
      </c>
      <c r="K196" s="15">
        <v>1</v>
      </c>
    </row>
    <row r="197" spans="1:11" x14ac:dyDescent="0.25">
      <c r="A197" s="9" t="s">
        <v>19</v>
      </c>
      <c r="B197" s="1">
        <v>2020</v>
      </c>
      <c r="C197" s="10">
        <v>193469171519</v>
      </c>
      <c r="D197" s="11">
        <v>2327.42</v>
      </c>
      <c r="E197" s="12">
        <v>346615738537.79633</v>
      </c>
      <c r="F197" s="12">
        <v>14687744162801.033</v>
      </c>
      <c r="G197" s="13">
        <v>168.78372148333801</v>
      </c>
      <c r="H197" s="13">
        <v>111.6</v>
      </c>
      <c r="I197" s="14">
        <v>3363.1576645223622</v>
      </c>
      <c r="J197" s="13">
        <v>9.5</v>
      </c>
      <c r="K197" s="15">
        <v>1</v>
      </c>
    </row>
    <row r="198" spans="1:11" x14ac:dyDescent="0.25">
      <c r="A198" s="9" t="s">
        <v>19</v>
      </c>
      <c r="B198" s="1">
        <v>2021</v>
      </c>
      <c r="C198" s="10">
        <v>230225691084</v>
      </c>
      <c r="D198" s="11">
        <v>2327.42</v>
      </c>
      <c r="E198" s="12">
        <v>366474752771.00934</v>
      </c>
      <c r="F198" s="12">
        <v>17820459508852.184</v>
      </c>
      <c r="G198" s="13">
        <v>171.880422664062</v>
      </c>
      <c r="H198" s="13">
        <v>112.6</v>
      </c>
      <c r="I198" s="14">
        <v>3591.234567554865</v>
      </c>
      <c r="J198" s="13">
        <v>9.6</v>
      </c>
      <c r="K198" s="15">
        <v>0</v>
      </c>
    </row>
    <row r="199" spans="1:11" x14ac:dyDescent="0.25">
      <c r="A199" s="9" t="s">
        <v>19</v>
      </c>
      <c r="B199" s="18">
        <v>2022</v>
      </c>
      <c r="C199" s="19">
        <v>235165035700</v>
      </c>
      <c r="D199" s="20">
        <v>2327.42</v>
      </c>
      <c r="E199" s="12">
        <v>413445230668.57819</v>
      </c>
      <c r="F199" s="21">
        <v>17963171479205.328</v>
      </c>
      <c r="G199" s="13">
        <v>177.30584109585101</v>
      </c>
      <c r="H199" s="22">
        <v>114.8</v>
      </c>
      <c r="I199" s="23">
        <v>3454.1585801983701</v>
      </c>
      <c r="J199" s="22">
        <v>9.6</v>
      </c>
      <c r="K199" s="24">
        <v>0</v>
      </c>
    </row>
    <row r="200" spans="1:11" x14ac:dyDescent="0.25">
      <c r="A200" s="9" t="s">
        <v>19</v>
      </c>
      <c r="B200" s="39">
        <v>2023</v>
      </c>
      <c r="C200" s="33">
        <v>234705778596</v>
      </c>
      <c r="D200" s="20">
        <v>2327.42</v>
      </c>
      <c r="E200" s="12">
        <v>433857681378.29095</v>
      </c>
      <c r="F200" s="12">
        <v>18270356654533.215</v>
      </c>
      <c r="G200" s="13">
        <v>183.073410082137</v>
      </c>
      <c r="H200" s="13">
        <v>132.22</v>
      </c>
      <c r="I200" s="14">
        <v>3560.5178531012102</v>
      </c>
      <c r="J200" s="13">
        <v>9.6666666666666696</v>
      </c>
      <c r="K200" s="24">
        <v>0</v>
      </c>
    </row>
    <row r="201" spans="1:11" x14ac:dyDescent="0.25">
      <c r="A201" s="9" t="s">
        <v>19</v>
      </c>
      <c r="B201" s="39">
        <v>2024</v>
      </c>
      <c r="C201" s="33">
        <v>261218622360</v>
      </c>
      <c r="D201" s="20">
        <v>2327.42</v>
      </c>
      <c r="E201" s="12">
        <v>476388230307.17523</v>
      </c>
      <c r="F201" s="12">
        <v>18743803170827.164</v>
      </c>
      <c r="G201" s="13">
        <v>189.70266804140201</v>
      </c>
      <c r="H201" s="13">
        <v>132.51</v>
      </c>
      <c r="I201" s="14">
        <v>3606.0183109392101</v>
      </c>
      <c r="J201" s="13">
        <v>9.7166666666666703</v>
      </c>
      <c r="K201" s="24">
        <v>0</v>
      </c>
    </row>
    <row r="202" spans="1:11" ht="15.75" customHeight="1" thickBot="1" x14ac:dyDescent="0.3">
      <c r="C202" s="26"/>
    </row>
    <row r="203" spans="1:11" ht="15.75" customHeight="1" thickBot="1" x14ac:dyDescent="0.3">
      <c r="A203" s="40" t="s">
        <v>49</v>
      </c>
      <c r="C203" s="26">
        <f>AVERAGE(C2:C201)</f>
        <v>47043901872.565002</v>
      </c>
      <c r="D203" s="26">
        <f t="shared" ref="D203:K203" si="0">AVERAGE(D2:D201)</f>
        <v>3551.0210000000079</v>
      </c>
      <c r="E203" s="26">
        <f t="shared" si="0"/>
        <v>254944158596.49765</v>
      </c>
      <c r="F203" s="26">
        <f t="shared" si="0"/>
        <v>10538362171580.201</v>
      </c>
      <c r="G203" s="26">
        <f t="shared" si="0"/>
        <v>118.16584905276559</v>
      </c>
      <c r="H203" s="26">
        <f t="shared" si="0"/>
        <v>106.8901595755374</v>
      </c>
      <c r="I203" s="26">
        <f t="shared" si="0"/>
        <v>704.15078618372024</v>
      </c>
      <c r="J203" s="26">
        <f t="shared" si="0"/>
        <v>7.0463976190476183</v>
      </c>
      <c r="K203" s="26">
        <f t="shared" si="0"/>
        <v>0.18</v>
      </c>
    </row>
    <row r="204" spans="1:11" ht="15.75" customHeight="1" thickBot="1" x14ac:dyDescent="0.3">
      <c r="A204" s="40" t="s">
        <v>50</v>
      </c>
      <c r="C204" s="26">
        <f>_xlfn.STDEV.S(C2:C201)</f>
        <v>54949975987.127831</v>
      </c>
      <c r="D204" s="26">
        <f t="shared" ref="D204:K204" si="1">_xlfn.STDEV.S(D2:D201)</f>
        <v>864.74885633436918</v>
      </c>
      <c r="E204" s="26">
        <f t="shared" si="1"/>
        <v>283639441473.27148</v>
      </c>
      <c r="F204" s="26">
        <f t="shared" si="1"/>
        <v>5294345718179.9063</v>
      </c>
      <c r="G204" s="26">
        <f t="shared" si="1"/>
        <v>30.312026509177034</v>
      </c>
      <c r="H204" s="26">
        <f t="shared" si="1"/>
        <v>11.869214551967646</v>
      </c>
      <c r="I204" s="26">
        <f t="shared" si="1"/>
        <v>1040.2496008613784</v>
      </c>
      <c r="J204" s="26">
        <f t="shared" si="1"/>
        <v>3.9257129826069246</v>
      </c>
      <c r="K204" s="26">
        <f t="shared" si="1"/>
        <v>0.49884288218388723</v>
      </c>
    </row>
    <row r="205" spans="1:11" ht="15.75" customHeight="1" thickBot="1" x14ac:dyDescent="0.3">
      <c r="A205" s="40" t="s">
        <v>51</v>
      </c>
      <c r="C205" s="26">
        <f>MEDIAN(C2:C201)</f>
        <v>23811925281</v>
      </c>
      <c r="D205" s="26">
        <f t="shared" ref="D205:K205" si="2">MEDIAN(D2:D201)</f>
        <v>3323.395</v>
      </c>
      <c r="E205" s="26">
        <f t="shared" si="2"/>
        <v>193883803655.38464</v>
      </c>
      <c r="F205" s="26">
        <f t="shared" si="2"/>
        <v>10768598781442.434</v>
      </c>
      <c r="G205" s="26">
        <f t="shared" si="2"/>
        <v>112.64766506893051</v>
      </c>
      <c r="H205" s="26">
        <f t="shared" si="2"/>
        <v>107</v>
      </c>
      <c r="I205" s="26">
        <f t="shared" si="2"/>
        <v>7.3821584760218535</v>
      </c>
      <c r="J205" s="26">
        <f t="shared" si="2"/>
        <v>6.9</v>
      </c>
      <c r="K205" s="26">
        <f t="shared" si="2"/>
        <v>0</v>
      </c>
    </row>
    <row r="206" spans="1:11" ht="15.75" customHeight="1" thickBot="1" x14ac:dyDescent="0.3">
      <c r="A206" s="40" t="s">
        <v>52</v>
      </c>
      <c r="C206" s="26">
        <f>MIN(C2:C201)</f>
        <v>135754273</v>
      </c>
      <c r="D206" s="26">
        <f t="shared" ref="D206:K206" si="3">MIN(D2:D201)</f>
        <v>2327.42</v>
      </c>
      <c r="E206" s="26">
        <f t="shared" si="3"/>
        <v>2735558734.7379031</v>
      </c>
      <c r="F206" s="26">
        <f t="shared" si="3"/>
        <v>2285961149904.2568</v>
      </c>
      <c r="G206" s="26">
        <f t="shared" si="3"/>
        <v>44.531097465480798</v>
      </c>
      <c r="H206" s="26">
        <f t="shared" si="3"/>
        <v>86.509317656014602</v>
      </c>
      <c r="I206" s="26">
        <f t="shared" si="3"/>
        <v>0.19465811426152371</v>
      </c>
      <c r="J206" s="26">
        <f t="shared" si="3"/>
        <v>0</v>
      </c>
      <c r="K206" s="26">
        <f t="shared" si="3"/>
        <v>0</v>
      </c>
    </row>
    <row r="207" spans="1:11" ht="15.75" customHeight="1" thickBot="1" x14ac:dyDescent="0.3">
      <c r="A207" s="40" t="s">
        <v>53</v>
      </c>
      <c r="C207" s="26">
        <f>MAX(C2:C201)</f>
        <v>261218622360</v>
      </c>
      <c r="D207" s="26">
        <f t="shared" ref="D207:K207" si="4">MAX(D2:D201)</f>
        <v>5219</v>
      </c>
      <c r="E207" s="26">
        <f t="shared" si="4"/>
        <v>1396300098190.9734</v>
      </c>
      <c r="F207" s="26">
        <f t="shared" si="4"/>
        <v>18743803170827.164</v>
      </c>
      <c r="G207" s="26">
        <f t="shared" si="4"/>
        <v>294.37015475907202</v>
      </c>
      <c r="H207" s="26">
        <f t="shared" si="4"/>
        <v>132.51</v>
      </c>
      <c r="I207" s="26">
        <f t="shared" si="4"/>
        <v>3606.0183109392101</v>
      </c>
      <c r="J207" s="26">
        <f t="shared" si="4"/>
        <v>16.8</v>
      </c>
      <c r="K207" s="26">
        <f t="shared" si="4"/>
        <v>3</v>
      </c>
    </row>
    <row r="208" spans="1:11" ht="15.75" customHeight="1" x14ac:dyDescent="0.25">
      <c r="C208" s="26"/>
    </row>
    <row r="209" spans="3:3" ht="15.75" customHeight="1" x14ac:dyDescent="0.25">
      <c r="C209" s="26"/>
    </row>
    <row r="210" spans="3:3" ht="15.75" customHeight="1" x14ac:dyDescent="0.25">
      <c r="C210" s="26"/>
    </row>
    <row r="211" spans="3:3" ht="15.75" customHeight="1" x14ac:dyDescent="0.25">
      <c r="C211" s="26"/>
    </row>
    <row r="212" spans="3:3" ht="15.75" customHeight="1" x14ac:dyDescent="0.25">
      <c r="C212" s="26"/>
    </row>
    <row r="213" spans="3:3" ht="15.75" customHeight="1" x14ac:dyDescent="0.25">
      <c r="C213" s="26"/>
    </row>
    <row r="214" spans="3:3" ht="15.75" customHeight="1" x14ac:dyDescent="0.25">
      <c r="C214" s="26"/>
    </row>
    <row r="215" spans="3:3" ht="15.75" customHeight="1" x14ac:dyDescent="0.25">
      <c r="C215" s="26"/>
    </row>
    <row r="216" spans="3:3" ht="15.75" customHeight="1" x14ac:dyDescent="0.25">
      <c r="C216" s="26"/>
    </row>
    <row r="217" spans="3:3" ht="15.75" customHeight="1" x14ac:dyDescent="0.25">
      <c r="C217" s="26"/>
    </row>
    <row r="218" spans="3:3" ht="15.75" customHeight="1" x14ac:dyDescent="0.25">
      <c r="C218" s="26"/>
    </row>
    <row r="219" spans="3:3" ht="15.75" customHeight="1" x14ac:dyDescent="0.25">
      <c r="C219" s="26"/>
    </row>
    <row r="220" spans="3:3" ht="15.75" customHeight="1" x14ac:dyDescent="0.25">
      <c r="C220" s="26"/>
    </row>
    <row r="221" spans="3:3" ht="15.75" customHeight="1" x14ac:dyDescent="0.25">
      <c r="C221" s="26"/>
    </row>
    <row r="222" spans="3:3" ht="15.75" customHeight="1" x14ac:dyDescent="0.25">
      <c r="C222" s="26"/>
    </row>
    <row r="223" spans="3:3" ht="15.75" customHeight="1" x14ac:dyDescent="0.25">
      <c r="C223" s="26"/>
    </row>
    <row r="224" spans="3:3" ht="15.75" customHeight="1" x14ac:dyDescent="0.25">
      <c r="C224" s="26"/>
    </row>
    <row r="225" spans="3:3" ht="15.75" customHeight="1" x14ac:dyDescent="0.25">
      <c r="C225" s="26"/>
    </row>
    <row r="226" spans="3:3" ht="15.75" customHeight="1" x14ac:dyDescent="0.25">
      <c r="C226" s="26"/>
    </row>
    <row r="227" spans="3:3" ht="15.75" customHeight="1" x14ac:dyDescent="0.25">
      <c r="C227" s="26"/>
    </row>
    <row r="228" spans="3:3" ht="15.75" customHeight="1" x14ac:dyDescent="0.25">
      <c r="C228" s="26"/>
    </row>
    <row r="229" spans="3:3" ht="15.75" customHeight="1" x14ac:dyDescent="0.25">
      <c r="C229" s="26"/>
    </row>
    <row r="230" spans="3:3" ht="15.75" customHeight="1" x14ac:dyDescent="0.25">
      <c r="C230" s="26"/>
    </row>
    <row r="231" spans="3:3" ht="15.75" customHeight="1" x14ac:dyDescent="0.25">
      <c r="C231" s="26"/>
    </row>
    <row r="232" spans="3:3" ht="15.75" customHeight="1" x14ac:dyDescent="0.25">
      <c r="C232" s="26"/>
    </row>
    <row r="233" spans="3:3" ht="15.75" customHeight="1" x14ac:dyDescent="0.25">
      <c r="C233" s="26"/>
    </row>
    <row r="234" spans="3:3" ht="15.75" customHeight="1" x14ac:dyDescent="0.25">
      <c r="C234" s="26"/>
    </row>
    <row r="235" spans="3:3" ht="15.75" customHeight="1" x14ac:dyDescent="0.25">
      <c r="C235" s="26"/>
    </row>
    <row r="236" spans="3:3" ht="15.75" customHeight="1" x14ac:dyDescent="0.25">
      <c r="C236" s="26"/>
    </row>
    <row r="237" spans="3:3" ht="15.75" customHeight="1" x14ac:dyDescent="0.25">
      <c r="C237" s="26"/>
    </row>
    <row r="238" spans="3:3" ht="15.75" customHeight="1" x14ac:dyDescent="0.25">
      <c r="C238" s="26"/>
    </row>
    <row r="239" spans="3:3" ht="15.75" customHeight="1" x14ac:dyDescent="0.25">
      <c r="C239" s="26"/>
    </row>
    <row r="240" spans="3:3" ht="15.75" customHeight="1" x14ac:dyDescent="0.25">
      <c r="C240" s="26"/>
    </row>
    <row r="241" spans="3:3" ht="15.75" customHeight="1" x14ac:dyDescent="0.25">
      <c r="C241" s="26"/>
    </row>
    <row r="242" spans="3:3" ht="15.75" customHeight="1" x14ac:dyDescent="0.25">
      <c r="C242" s="26"/>
    </row>
    <row r="243" spans="3:3" ht="15.75" customHeight="1" x14ac:dyDescent="0.25">
      <c r="C243" s="26"/>
    </row>
    <row r="244" spans="3:3" ht="15.75" customHeight="1" x14ac:dyDescent="0.25">
      <c r="C244" s="26"/>
    </row>
    <row r="245" spans="3:3" ht="15.75" customHeight="1" x14ac:dyDescent="0.25">
      <c r="C245" s="26"/>
    </row>
    <row r="246" spans="3:3" ht="15.75" customHeight="1" x14ac:dyDescent="0.25">
      <c r="C246" s="26"/>
    </row>
    <row r="247" spans="3:3" ht="15.75" customHeight="1" x14ac:dyDescent="0.25">
      <c r="C247" s="26"/>
    </row>
    <row r="248" spans="3:3" ht="15.75" customHeight="1" x14ac:dyDescent="0.25">
      <c r="C248" s="26"/>
    </row>
    <row r="249" spans="3:3" ht="15.75" customHeight="1" x14ac:dyDescent="0.25">
      <c r="C249" s="26"/>
    </row>
    <row r="250" spans="3:3" ht="15.75" customHeight="1" x14ac:dyDescent="0.25">
      <c r="C250" s="26"/>
    </row>
    <row r="251" spans="3:3" ht="15.75" customHeight="1" x14ac:dyDescent="0.25">
      <c r="C251" s="26"/>
    </row>
    <row r="252" spans="3:3" ht="15.75" customHeight="1" x14ac:dyDescent="0.25">
      <c r="C252" s="26"/>
    </row>
    <row r="253" spans="3:3" ht="15.75" customHeight="1" x14ac:dyDescent="0.25">
      <c r="C253" s="26"/>
    </row>
    <row r="254" spans="3:3" ht="15.75" customHeight="1" x14ac:dyDescent="0.25">
      <c r="C254" s="26"/>
    </row>
    <row r="255" spans="3:3" ht="15.75" customHeight="1" x14ac:dyDescent="0.25">
      <c r="C255" s="26"/>
    </row>
    <row r="256" spans="3:3" ht="15.75" customHeight="1" x14ac:dyDescent="0.25">
      <c r="C256" s="26"/>
    </row>
    <row r="257" spans="3:3" ht="15.75" customHeight="1" x14ac:dyDescent="0.25">
      <c r="C257" s="26"/>
    </row>
    <row r="258" spans="3:3" ht="15.75" customHeight="1" x14ac:dyDescent="0.25">
      <c r="C258" s="26"/>
    </row>
    <row r="259" spans="3:3" ht="15.75" customHeight="1" x14ac:dyDescent="0.25">
      <c r="C259" s="26"/>
    </row>
    <row r="260" spans="3:3" ht="15.75" customHeight="1" x14ac:dyDescent="0.25">
      <c r="C260" s="26"/>
    </row>
    <row r="261" spans="3:3" ht="15.75" customHeight="1" x14ac:dyDescent="0.25">
      <c r="C261" s="26"/>
    </row>
    <row r="262" spans="3:3" ht="15.75" customHeight="1" x14ac:dyDescent="0.25">
      <c r="C262" s="26"/>
    </row>
    <row r="263" spans="3:3" ht="15.75" customHeight="1" x14ac:dyDescent="0.25">
      <c r="C263" s="26"/>
    </row>
    <row r="264" spans="3:3" ht="15.75" customHeight="1" x14ac:dyDescent="0.25">
      <c r="C264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DCE9-D8AA-484C-8E02-E2E2C6832CA5}">
  <sheetPr>
    <tabColor rgb="FFFFFF00"/>
  </sheetPr>
  <dimension ref="A1:K21"/>
  <sheetViews>
    <sheetView tabSelected="1" topLeftCell="A12" workbookViewId="0">
      <selection sqref="A1:K21"/>
    </sheetView>
  </sheetViews>
  <sheetFormatPr defaultRowHeight="15" x14ac:dyDescent="0.25"/>
  <sheetData>
    <row r="1" spans="1:11" ht="15.75" thickBot="1" x14ac:dyDescent="0.3">
      <c r="A1" s="52" t="s">
        <v>1</v>
      </c>
      <c r="B1" s="53" t="s">
        <v>56</v>
      </c>
      <c r="C1" s="53" t="s">
        <v>57</v>
      </c>
      <c r="D1" s="53" t="s">
        <v>58</v>
      </c>
      <c r="E1" s="53" t="s">
        <v>59</v>
      </c>
      <c r="F1" s="53" t="s">
        <v>60</v>
      </c>
      <c r="G1" s="53" t="s">
        <v>61</v>
      </c>
      <c r="H1" s="53" t="s">
        <v>62</v>
      </c>
      <c r="I1" s="53" t="s">
        <v>63</v>
      </c>
      <c r="J1" s="53" t="s">
        <v>64</v>
      </c>
      <c r="K1" s="53" t="s">
        <v>65</v>
      </c>
    </row>
    <row r="2" spans="1:11" ht="15.75" thickBot="1" x14ac:dyDescent="0.3">
      <c r="A2" s="54">
        <v>2005</v>
      </c>
      <c r="B2" s="57">
        <f>'DATA FULL'!I2</f>
        <v>0.20311608248806584</v>
      </c>
      <c r="C2" s="57">
        <f>'DATA FULL'!I22</f>
        <v>499.43151655924106</v>
      </c>
      <c r="D2" s="57">
        <f>'DATA FULL'!I42</f>
        <v>1184.3259250822252</v>
      </c>
      <c r="E2" s="57">
        <f>'DATA FULL'!I62</f>
        <v>1300.3118014721622</v>
      </c>
      <c r="F2" s="57">
        <f>'DATA FULL'!I82</f>
        <v>0.46216076590075622</v>
      </c>
      <c r="G2" s="57">
        <f>'DATA FULL'!I102</f>
        <v>0.71002463089661705</v>
      </c>
      <c r="H2" s="57">
        <f>'DATA FULL'!I122</f>
        <v>6.722402112036999</v>
      </c>
      <c r="I2" s="57">
        <f>'DATA FULL'!I142</f>
        <v>0.20311608248806584</v>
      </c>
      <c r="J2" s="57">
        <f>'DATA FULL'!I162</f>
        <v>4.9082958157950918</v>
      </c>
      <c r="K2" s="57">
        <f>'DATA FULL'!I182</f>
        <v>1935.3556021551558</v>
      </c>
    </row>
    <row r="3" spans="1:11" ht="15.75" thickBot="1" x14ac:dyDescent="0.3">
      <c r="A3" s="55">
        <v>2006</v>
      </c>
      <c r="B3" s="57">
        <f>'DATA FULL'!I3</f>
        <v>0.19927831217523689</v>
      </c>
      <c r="C3" s="57">
        <f>'DATA FULL'!I23</f>
        <v>514.61487860841316</v>
      </c>
      <c r="D3" s="57">
        <f>'DATA FULL'!I43</f>
        <v>1148.7286016091391</v>
      </c>
      <c r="E3" s="57">
        <f>'DATA FULL'!I63</f>
        <v>1273.4310658652244</v>
      </c>
      <c r="F3" s="57">
        <f>'DATA FULL'!I83</f>
        <v>0.46004958023755144</v>
      </c>
      <c r="G3" s="57">
        <f>'DATA FULL'!I103</f>
        <v>0.73280075952595136</v>
      </c>
      <c r="H3" s="57">
        <f>'DATA FULL'!I123</f>
        <v>6.4356517671276512</v>
      </c>
      <c r="I3" s="57">
        <f>'DATA FULL'!I143</f>
        <v>0.19927831217523689</v>
      </c>
      <c r="J3" s="57">
        <f>'DATA FULL'!I163</f>
        <v>4.7510222864749085</v>
      </c>
      <c r="K3" s="57">
        <f>'DATA FULL'!I183</f>
        <v>2005.9413933303144</v>
      </c>
    </row>
    <row r="4" spans="1:11" ht="15.75" thickBot="1" x14ac:dyDescent="0.3">
      <c r="A4" s="56">
        <v>2007</v>
      </c>
      <c r="B4" s="57">
        <f>'DATA FULL'!I4</f>
        <v>0.19810650387625686</v>
      </c>
      <c r="C4" s="57">
        <f>'DATA FULL'!I24</f>
        <v>533.17769811258779</v>
      </c>
      <c r="D4" s="57">
        <f>'DATA FULL'!I44</f>
        <v>1201.5722574961067</v>
      </c>
      <c r="E4" s="57">
        <f>'DATA FULL'!I64</f>
        <v>1262.2658947829275</v>
      </c>
      <c r="F4" s="57">
        <f>'DATA FULL'!I84</f>
        <v>0.45186391018375544</v>
      </c>
      <c r="G4" s="57">
        <f>'DATA FULL'!I104</f>
        <v>0.73833182221699345</v>
      </c>
      <c r="H4" s="57">
        <f>'DATA FULL'!I124</f>
        <v>6.0661444663956416</v>
      </c>
      <c r="I4" s="57">
        <f>'DATA FULL'!I144</f>
        <v>0.19810650387625686</v>
      </c>
      <c r="J4" s="57">
        <f>'DATA FULL'!I164</f>
        <v>4.5373687975306058</v>
      </c>
      <c r="K4" s="57">
        <f>'DATA FULL'!I184</f>
        <v>2116.9971998147889</v>
      </c>
    </row>
    <row r="5" spans="1:11" ht="15.75" thickBot="1" x14ac:dyDescent="0.3">
      <c r="A5" s="55">
        <v>2008</v>
      </c>
      <c r="B5" s="57">
        <f>'DATA FULL'!I5</f>
        <v>0.20394834204605064</v>
      </c>
      <c r="C5" s="57">
        <f>'DATA FULL'!I25</f>
        <v>583.44624487281351</v>
      </c>
      <c r="D5" s="57">
        <f>'DATA FULL'!I45</f>
        <v>1395.804295939286</v>
      </c>
      <c r="E5" s="57">
        <f>'DATA FULL'!I65</f>
        <v>1257.8234785041711</v>
      </c>
      <c r="F5" s="57">
        <f>'DATA FULL'!I85</f>
        <v>0.48006892460483364</v>
      </c>
      <c r="G5" s="57">
        <f>'DATA FULL'!I105</f>
        <v>0.78309399444928551</v>
      </c>
      <c r="H5" s="57">
        <f>'DATA FULL'!I125</f>
        <v>6.3786858909242143</v>
      </c>
      <c r="I5" s="57">
        <f>'DATA FULL'!I145</f>
        <v>0.20361650323695735</v>
      </c>
      <c r="J5" s="57">
        <f>'DATA FULL'!I165</f>
        <v>4.7942084678545704</v>
      </c>
      <c r="K5" s="57">
        <f>'DATA FULL'!I185</f>
        <v>2346.1015117314068</v>
      </c>
    </row>
    <row r="6" spans="1:11" ht="15.75" thickBot="1" x14ac:dyDescent="0.3">
      <c r="A6" s="56">
        <v>2009</v>
      </c>
      <c r="B6" s="57">
        <f>'DATA FULL'!I6</f>
        <v>0.21292353770838426</v>
      </c>
      <c r="C6" s="57">
        <f>'DATA FULL'!I26</f>
        <v>605.92610696911584</v>
      </c>
      <c r="D6" s="57">
        <f>'DATA FULL'!I46</f>
        <v>1520.9053908103106</v>
      </c>
      <c r="E6" s="57">
        <f>'DATA FULL'!I66</f>
        <v>1245.9131603989767</v>
      </c>
      <c r="F6" s="57">
        <f>'DATA FULL'!I86</f>
        <v>0.51592567104568821</v>
      </c>
      <c r="G6" s="57">
        <f>'DATA FULL'!I106</f>
        <v>0.81628268933465209</v>
      </c>
      <c r="H6" s="57">
        <f>'DATA FULL'!I126</f>
        <v>6.9794736687380716</v>
      </c>
      <c r="I6" s="57">
        <f>'DATA FULL'!I146</f>
        <v>0.21291555109190732</v>
      </c>
      <c r="J6" s="57">
        <f>'DATA FULL'!I166</f>
        <v>5.0188385341474584</v>
      </c>
      <c r="K6" s="57">
        <f>'DATA FULL'!I186</f>
        <v>2498.0301600749567</v>
      </c>
    </row>
    <row r="7" spans="1:11" ht="15.75" thickBot="1" x14ac:dyDescent="0.3">
      <c r="A7" s="55">
        <v>2010</v>
      </c>
      <c r="B7" s="57">
        <f>'DATA FULL'!I7</f>
        <v>0.20139664582279126</v>
      </c>
      <c r="C7" s="57">
        <f>'DATA FULL'!I27</f>
        <v>618.13151721453232</v>
      </c>
      <c r="D7" s="57">
        <f>'DATA FULL'!I47</f>
        <v>1342.698982091438</v>
      </c>
      <c r="E7" s="57">
        <f>'DATA FULL'!I67</f>
        <v>1219.7565817881566</v>
      </c>
      <c r="F7" s="57">
        <f>'DATA FULL'!I87</f>
        <v>0.47576941197475986</v>
      </c>
      <c r="G7" s="57">
        <f>'DATA FULL'!I107</f>
        <v>0.83229828968468111</v>
      </c>
      <c r="H7" s="57">
        <f>'DATA FULL'!I127</f>
        <v>6.6629057115473511</v>
      </c>
      <c r="I7" s="57">
        <f>'DATA FULL'!I147</f>
        <v>0.201396477380445</v>
      </c>
      <c r="J7" s="57">
        <f>'DATA FULL'!I167</f>
        <v>4.6801249500775262</v>
      </c>
      <c r="K7" s="57">
        <f>'DATA FULL'!I187</f>
        <v>2749.2137443487732</v>
      </c>
    </row>
    <row r="8" spans="1:11" ht="15.75" thickBot="1" x14ac:dyDescent="0.3">
      <c r="A8" s="56">
        <v>2011</v>
      </c>
      <c r="B8" s="57">
        <f>'DATA FULL'!I8</f>
        <v>0.19467933901132395</v>
      </c>
      <c r="C8" s="57">
        <f>'DATA FULL'!I28</f>
        <v>628.10868855991919</v>
      </c>
      <c r="D8" s="57">
        <f>'DATA FULL'!I48</f>
        <v>1357.3451716403054</v>
      </c>
      <c r="E8" s="57">
        <f>'DATA FULL'!I68</f>
        <v>1242.7614426793205</v>
      </c>
      <c r="F8" s="57">
        <f>'DATA FULL'!I88</f>
        <v>0.47357754784145856</v>
      </c>
      <c r="G8" s="57">
        <f>'DATA FULL'!I108</f>
        <v>0.8425506333884909</v>
      </c>
      <c r="H8" s="57">
        <f>'DATA FULL'!I128</f>
        <v>6.7033035925986004</v>
      </c>
      <c r="I8" s="57">
        <f>'DATA FULL'!I148</f>
        <v>0.19465811426152371</v>
      </c>
      <c r="J8" s="57">
        <f>'DATA FULL'!I168</f>
        <v>4.7190150636683104</v>
      </c>
      <c r="K8" s="57">
        <f>'DATA FULL'!I188</f>
        <v>3174.1658679787611</v>
      </c>
    </row>
    <row r="9" spans="1:11" ht="15.75" thickBot="1" x14ac:dyDescent="0.3">
      <c r="A9" s="55">
        <v>2012</v>
      </c>
      <c r="B9" s="57">
        <f>'DATA FULL'!I9</f>
        <v>0.19795645299127132</v>
      </c>
      <c r="C9" s="57">
        <f>'DATA FULL'!I29</f>
        <v>638.90800923184997</v>
      </c>
      <c r="D9" s="57">
        <f>'DATA FULL'!I49</f>
        <v>1487.0301399138707</v>
      </c>
      <c r="E9" s="57">
        <f>'DATA FULL'!I69</f>
        <v>1268.5892394585708</v>
      </c>
      <c r="F9" s="57">
        <f>'DATA FULL'!I89</f>
        <v>0.48932794758071391</v>
      </c>
      <c r="G9" s="57">
        <f>'DATA FULL'!I109</f>
        <v>101.49233797423858</v>
      </c>
      <c r="H9" s="57">
        <f>'DATA FULL'!I129</f>
        <v>6.689887224481871</v>
      </c>
      <c r="I9" s="57">
        <f>'DATA FULL'!I149</f>
        <v>0.19797375043153553</v>
      </c>
      <c r="J9" s="57">
        <f>'DATA FULL'!I169</f>
        <v>4.9241845319966284</v>
      </c>
      <c r="K9" s="57">
        <f>'DATA FULL'!I189</f>
        <v>3299.5725306920335</v>
      </c>
    </row>
    <row r="10" spans="1:11" ht="15.75" thickBot="1" x14ac:dyDescent="0.3">
      <c r="A10" s="56">
        <v>2013</v>
      </c>
      <c r="B10" s="57">
        <f>'DATA FULL'!I10</f>
        <v>0.20193906861960403</v>
      </c>
      <c r="C10" s="57">
        <f>'DATA FULL'!I30</f>
        <v>650.00114191776106</v>
      </c>
      <c r="D10" s="57">
        <f>'DATA FULL'!I50</f>
        <v>1688.4519078467338</v>
      </c>
      <c r="E10" s="57">
        <f>'DATA FULL'!I70</f>
        <v>1268.6320319400622</v>
      </c>
      <c r="F10" s="57">
        <f>'DATA FULL'!I90</f>
        <v>0.5085589808537927</v>
      </c>
      <c r="G10" s="57">
        <f>'DATA FULL'!I110</f>
        <v>150.67896522258869</v>
      </c>
      <c r="H10" s="57">
        <f>'DATA FULL'!I130</f>
        <v>6.8508457657228492</v>
      </c>
      <c r="I10" s="57">
        <f>'DATA FULL'!I150</f>
        <v>0.20196074961368041</v>
      </c>
      <c r="J10" s="57">
        <f>'DATA FULL'!I170</f>
        <v>4.9591938468885868</v>
      </c>
      <c r="K10" s="57">
        <f>'DATA FULL'!I190</f>
        <v>3378.6690018185227</v>
      </c>
    </row>
    <row r="11" spans="1:11" ht="15.75" thickBot="1" x14ac:dyDescent="0.3">
      <c r="A11" s="55">
        <v>2014</v>
      </c>
      <c r="B11" s="57">
        <f>'DATA FULL'!I11</f>
        <v>0.20624297479428857</v>
      </c>
      <c r="C11" s="57">
        <f>'DATA FULL'!I31</f>
        <v>657.20571554956166</v>
      </c>
      <c r="D11" s="57">
        <f>'DATA FULL'!I51</f>
        <v>1931.3646266573751</v>
      </c>
      <c r="E11" s="57">
        <f>'DATA FULL'!I71</f>
        <v>1310.1728136961856</v>
      </c>
      <c r="F11" s="57">
        <f>'DATA FULL'!I91</f>
        <v>0.53274108520771979</v>
      </c>
      <c r="G11" s="57">
        <f>'DATA FULL'!I111</f>
        <v>160.22728207389176</v>
      </c>
      <c r="H11" s="57">
        <f>'DATA FULL'!I131</f>
        <v>7.2264394183095879</v>
      </c>
      <c r="I11" s="57">
        <f>'DATA FULL'!I151</f>
        <v>0.20624458251072994</v>
      </c>
      <c r="J11" s="57">
        <f>'DATA FULL'!I171</f>
        <v>5.2869181688524902</v>
      </c>
      <c r="K11" s="57">
        <f>'DATA FULL'!I191</f>
        <v>3442.3743584995987</v>
      </c>
    </row>
    <row r="12" spans="1:11" ht="15.75" thickBot="1" x14ac:dyDescent="0.3">
      <c r="A12" s="56">
        <v>2015</v>
      </c>
      <c r="B12" s="57">
        <f>'DATA FULL'!I12</f>
        <v>0.22078094667028408</v>
      </c>
      <c r="C12" s="57">
        <f>'DATA FULL'!I32</f>
        <v>653.19267743453224</v>
      </c>
      <c r="D12" s="57">
        <f>'DATA FULL'!I52</f>
        <v>2150.0501469544974</v>
      </c>
      <c r="E12" s="57">
        <f>'DATA FULL'!I72</f>
        <v>1308.3778042470017</v>
      </c>
      <c r="F12" s="57">
        <f>'DATA FULL'!I92</f>
        <v>0.62713887862091811</v>
      </c>
      <c r="G12" s="57">
        <f>'DATA FULL'!I112</f>
        <v>186.69087808526064</v>
      </c>
      <c r="H12" s="57">
        <f>'DATA FULL'!I132</f>
        <v>7.3067720122070616</v>
      </c>
      <c r="I12" s="57">
        <f>'DATA FULL'!I152</f>
        <v>0.22076716188407122</v>
      </c>
      <c r="J12" s="57">
        <f>'DATA FULL'!I172</f>
        <v>5.4994426268922689</v>
      </c>
      <c r="K12" s="57">
        <f>'DATA FULL'!I192</f>
        <v>3484.1600907483225</v>
      </c>
    </row>
    <row r="13" spans="1:11" ht="15.75" thickBot="1" x14ac:dyDescent="0.3">
      <c r="A13" s="55">
        <v>2016</v>
      </c>
      <c r="B13" s="57">
        <f>'DATA FULL'!I13</f>
        <v>0.20789397035508009</v>
      </c>
      <c r="C13" s="57">
        <f>'DATA FULL'!I33</f>
        <v>610.83725208108876</v>
      </c>
      <c r="D13" s="57">
        <f>'DATA FULL'!I53</f>
        <v>2002.9153747905896</v>
      </c>
      <c r="E13" s="57">
        <f>'DATA FULL'!I73</f>
        <v>1230.9873767784522</v>
      </c>
      <c r="F13" s="57">
        <f>'DATA FULL'!I93</f>
        <v>0.62432304981373909</v>
      </c>
      <c r="G13" s="57">
        <f>'DATA FULL'!I113</f>
        <v>185.84899345950737</v>
      </c>
      <c r="H13" s="57">
        <f>'DATA FULL'!I133</f>
        <v>7.1476593161353188</v>
      </c>
      <c r="I13" s="57">
        <f>'DATA FULL'!I153</f>
        <v>0.20792399328616973</v>
      </c>
      <c r="J13" s="57">
        <f>'DATA FULL'!I173</f>
        <v>5.3121380248835406</v>
      </c>
      <c r="K13" s="57">
        <f>'DATA FULL'!I193</f>
        <v>3301.2377189554932</v>
      </c>
    </row>
    <row r="14" spans="1:11" ht="15.75" thickBot="1" x14ac:dyDescent="0.3">
      <c r="A14" s="56">
        <v>2017</v>
      </c>
      <c r="B14" s="57">
        <f>'DATA FULL'!I14</f>
        <v>0.20431146660303134</v>
      </c>
      <c r="C14" s="57">
        <f>'DATA FULL'!I34</f>
        <v>599.30859073560316</v>
      </c>
      <c r="D14" s="57">
        <f>'DATA FULL'!I54</f>
        <v>1979.7778892655606</v>
      </c>
      <c r="E14" s="57">
        <f>'DATA FULL'!I74</f>
        <v>1235.2459903830274</v>
      </c>
      <c r="F14" s="57">
        <f>'DATA FULL'!I94</f>
        <v>0.63627706917418991</v>
      </c>
      <c r="G14" s="57">
        <f>'DATA FULL'!I114</f>
        <v>201.273561427164</v>
      </c>
      <c r="H14" s="57">
        <f>'DATA FULL'!I134</f>
        <v>7.4575449398366445</v>
      </c>
      <c r="I14" s="57">
        <f>'DATA FULL'!I154</f>
        <v>0.20431647283562418</v>
      </c>
      <c r="J14" s="57">
        <f>'DATA FULL'!I174</f>
        <v>5.0216068822075517</v>
      </c>
      <c r="K14" s="57">
        <f>'DATA FULL'!I194</f>
        <v>3309.793945913475</v>
      </c>
    </row>
    <row r="15" spans="1:11" ht="15.75" thickBot="1" x14ac:dyDescent="0.3">
      <c r="A15" s="55">
        <v>2018</v>
      </c>
      <c r="B15" s="57">
        <f>'DATA FULL'!I15</f>
        <v>0.20388864819397304</v>
      </c>
      <c r="C15" s="57">
        <f>'DATA FULL'!I35</f>
        <v>612.33269679378338</v>
      </c>
      <c r="D15" s="57">
        <f>'DATA FULL'!I55</f>
        <v>2151.9091481143646</v>
      </c>
      <c r="E15" s="57">
        <f>'DATA FULL'!I75</f>
        <v>1281.9057903458231</v>
      </c>
      <c r="F15" s="57">
        <f>'DATA FULL'!I95</f>
        <v>0.60990874471070589</v>
      </c>
      <c r="G15" s="57">
        <f>'DATA FULL'!I115</f>
        <v>216.11505892074959</v>
      </c>
      <c r="H15" s="57">
        <f>'DATA FULL'!I135</f>
        <v>7.9597597962474156</v>
      </c>
      <c r="I15" s="57">
        <f>'DATA FULL'!I155</f>
        <v>0.20387702497787014</v>
      </c>
      <c r="J15" s="57">
        <f>'DATA FULL'!I175</f>
        <v>4.8836812084718355</v>
      </c>
      <c r="K15" s="57">
        <f>'DATA FULL'!I195</f>
        <v>3416.2932730828497</v>
      </c>
    </row>
    <row r="16" spans="1:11" ht="15.75" thickBot="1" x14ac:dyDescent="0.3">
      <c r="A16" s="56">
        <v>2019</v>
      </c>
      <c r="B16" s="57">
        <f>'DATA FULL'!I16</f>
        <v>0.19747285539808365</v>
      </c>
      <c r="C16" s="57">
        <f>'DATA FULL'!I36</f>
        <v>587.8579374624826</v>
      </c>
      <c r="D16" s="57">
        <f>'DATA FULL'!I56</f>
        <v>2047.8985088717257</v>
      </c>
      <c r="E16" s="57">
        <f>'DATA FULL'!I76</f>
        <v>1273.3495986241501</v>
      </c>
      <c r="F16" s="57">
        <f>'DATA FULL'!I96</f>
        <v>0.59962925195197936</v>
      </c>
      <c r="G16" s="57">
        <f>'DATA FULL'!I116</f>
        <v>219.76990490318684</v>
      </c>
      <c r="H16" s="57">
        <f>'DATA FULL'!I136</f>
        <v>7.4975240345257266</v>
      </c>
      <c r="I16" s="57">
        <f>'DATA FULL'!I156</f>
        <v>0.19746414412910929</v>
      </c>
      <c r="J16" s="57">
        <f>'DATA FULL'!I176</f>
        <v>4.4941915854251215</v>
      </c>
      <c r="K16" s="57">
        <f>'DATA FULL'!I196</f>
        <v>3336.5600836574631</v>
      </c>
    </row>
    <row r="17" spans="1:11" ht="15.75" thickBot="1" x14ac:dyDescent="0.3">
      <c r="A17" s="55">
        <v>2020</v>
      </c>
      <c r="B17" s="57">
        <f>'DATA FULL'!I17</f>
        <v>0.19993478635457793</v>
      </c>
      <c r="C17" s="57">
        <f>'DATA FULL'!I37</f>
        <v>593.09103744567301</v>
      </c>
      <c r="D17" s="57">
        <f>'DATA FULL'!I57</f>
        <v>2113.1278448376806</v>
      </c>
      <c r="E17" s="57">
        <f>'DATA FULL'!I77</f>
        <v>1325.0607480054716</v>
      </c>
      <c r="F17" s="57">
        <f>'DATA FULL'!I97</f>
        <v>0.60913254778341186</v>
      </c>
      <c r="G17" s="57">
        <f>'DATA FULL'!I117</f>
        <v>200.21239852318146</v>
      </c>
      <c r="H17" s="57">
        <f>'DATA FULL'!I137</f>
        <v>7.1910983322526238</v>
      </c>
      <c r="I17" s="57">
        <f>'DATA FULL'!I157</f>
        <v>0.19994032733263253</v>
      </c>
      <c r="J17" s="57">
        <f>'DATA FULL'!I177</f>
        <v>4.5348106944052242</v>
      </c>
      <c r="K17" s="57">
        <f>'DATA FULL'!I197</f>
        <v>3363.1576645223622</v>
      </c>
    </row>
    <row r="18" spans="1:11" ht="15.75" thickBot="1" x14ac:dyDescent="0.3">
      <c r="A18" s="56">
        <v>2021</v>
      </c>
      <c r="B18" s="57">
        <f>'DATA FULL'!I18</f>
        <v>0.20837527288317639</v>
      </c>
      <c r="C18" s="57">
        <f>'DATA FULL'!I38</f>
        <v>635.56188084202824</v>
      </c>
      <c r="D18" s="57">
        <f>'DATA FULL'!I58</f>
        <v>2218.6694011513018</v>
      </c>
      <c r="E18" s="57">
        <f>'DATA FULL'!I78</f>
        <v>1417.8897552406654</v>
      </c>
      <c r="F18" s="57">
        <f>'DATA FULL'!I98</f>
        <v>0.64247380124725129</v>
      </c>
      <c r="G18" s="57">
        <f>'DATA FULL'!I118</f>
        <v>214.23856163989856</v>
      </c>
      <c r="H18" s="57">
        <f>'DATA FULL'!I138</f>
        <v>7.63758525225753</v>
      </c>
      <c r="I18" s="57">
        <f>'DATA FULL'!I158</f>
        <v>0.20832508976245492</v>
      </c>
      <c r="J18" s="57">
        <f>'DATA FULL'!I178</f>
        <v>4.9584767421285534</v>
      </c>
      <c r="K18" s="57">
        <f>'DATA FULL'!I198</f>
        <v>3591.234567554865</v>
      </c>
    </row>
    <row r="19" spans="1:11" ht="15.75" thickBot="1" x14ac:dyDescent="0.3">
      <c r="A19" s="55">
        <v>2022</v>
      </c>
      <c r="B19" s="57">
        <f>'DATA FULL'!I19</f>
        <v>0.2046791803012423</v>
      </c>
      <c r="C19" s="57">
        <f>'DATA FULL'!I39</f>
        <v>608.86768524366119</v>
      </c>
      <c r="D19" s="57">
        <f>'DATA FULL'!I59</f>
        <v>2204.1718018658003</v>
      </c>
      <c r="E19" s="57">
        <f>'DATA FULL'!I79</f>
        <v>2083.2562423060313</v>
      </c>
      <c r="F19" s="57">
        <f>'DATA FULL'!I99</f>
        <v>0.65325407636173316</v>
      </c>
      <c r="G19" s="57">
        <f>'DATA FULL'!I119</f>
        <v>205.07447556109523</v>
      </c>
      <c r="H19" s="57">
        <f>'DATA FULL'!I139</f>
        <v>8.0861670590696821</v>
      </c>
      <c r="I19" s="57">
        <f>'DATA FULL'!I159</f>
        <v>0.20463628387589802</v>
      </c>
      <c r="J19" s="57">
        <f>'DATA FULL'!I179</f>
        <v>5.2041750267992315</v>
      </c>
      <c r="K19" s="57">
        <f>'DATA FULL'!I199</f>
        <v>3454.1585801983701</v>
      </c>
    </row>
    <row r="20" spans="1:11" ht="15.75" thickBot="1" x14ac:dyDescent="0.3">
      <c r="A20" s="56">
        <v>2023</v>
      </c>
      <c r="B20" s="57">
        <f>'DATA FULL'!I20</f>
        <v>0.20907414045966299</v>
      </c>
      <c r="C20" s="57">
        <f>'DATA FULL'!I40</f>
        <v>628.28351564177603</v>
      </c>
      <c r="D20" s="57">
        <f>'DATA FULL'!I60</f>
        <v>2269.7003063130501</v>
      </c>
      <c r="E20" s="57">
        <f>'DATA FULL'!I80</f>
        <v>2366.9310761512802</v>
      </c>
      <c r="F20" s="57">
        <f>'DATA FULL'!I100</f>
        <v>0.67907500370912</v>
      </c>
      <c r="G20" s="57">
        <f>'DATA FULL'!I120</f>
        <v>211.37055561263901</v>
      </c>
      <c r="H20" s="57">
        <f>'DATA FULL'!I140</f>
        <v>8.5333522746770107</v>
      </c>
      <c r="I20" s="57">
        <f>'DATA FULL'!I160</f>
        <v>0.20899652353359399</v>
      </c>
      <c r="J20" s="57">
        <f>'DATA FULL'!I180</f>
        <v>5.4363176051509496</v>
      </c>
      <c r="K20" s="57">
        <f>'DATA FULL'!I200</f>
        <v>3560.5178531012102</v>
      </c>
    </row>
    <row r="21" spans="1:11" ht="15.75" thickBot="1" x14ac:dyDescent="0.3">
      <c r="A21" s="54">
        <v>2024</v>
      </c>
      <c r="B21" s="57">
        <f>'DATA FULL'!I21</f>
        <v>0.21144633743299501</v>
      </c>
      <c r="C21" s="57">
        <f>'DATA FULL'!I41</f>
        <v>636.17183954076995</v>
      </c>
      <c r="D21" s="57">
        <f>'DATA FULL'!I61</f>
        <v>2315.2222848271099</v>
      </c>
      <c r="E21" s="57">
        <f>'DATA FULL'!I81</f>
        <v>2746.0288233015599</v>
      </c>
      <c r="F21" s="57">
        <f>'DATA FULL'!I101</f>
        <v>0.70113576799828103</v>
      </c>
      <c r="G21" s="57">
        <f>'DATA FULL'!I121</f>
        <v>213.801594131596</v>
      </c>
      <c r="H21" s="57">
        <f>'DATA FULL'!I141</f>
        <v>8.9808866380855399</v>
      </c>
      <c r="I21" s="57">
        <f>'DATA FULL'!I161</f>
        <v>0.21134450180522699</v>
      </c>
      <c r="J21" s="57">
        <f>'DATA FULL'!I181</f>
        <v>5.6916792423355096</v>
      </c>
      <c r="K21" s="57">
        <f>'DATA FULL'!I201</f>
        <v>3606.0183109392101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DB33-EA3B-448B-B02D-5D50EAC42A55}">
  <sheetPr>
    <tabColor rgb="FFFFFF00"/>
  </sheetPr>
  <dimension ref="A1:K269"/>
  <sheetViews>
    <sheetView zoomScale="90" zoomScaleNormal="90" workbookViewId="0">
      <pane xSplit="2" ySplit="1" topLeftCell="C2" activePane="bottomRight" state="frozen"/>
      <selection pane="topRight"/>
      <selection pane="bottomLeft"/>
      <selection pane="bottomRight" activeCell="H1" sqref="H1"/>
    </sheetView>
  </sheetViews>
  <sheetFormatPr defaultRowHeight="15.75" customHeight="1" x14ac:dyDescent="0.25"/>
  <cols>
    <col min="1" max="1" width="19.28515625" style="25" customWidth="1"/>
    <col min="2" max="2" width="11.140625" style="8" customWidth="1"/>
    <col min="3" max="3" width="23.85546875" style="33" customWidth="1"/>
    <col min="4" max="4" width="12.7109375" style="27" customWidth="1"/>
    <col min="5" max="6" width="22.42578125" style="28" customWidth="1"/>
    <col min="7" max="8" width="18" style="29" customWidth="1"/>
    <col min="9" max="9" width="15" style="30" customWidth="1"/>
    <col min="10" max="10" width="13.85546875" style="31" customWidth="1"/>
    <col min="11" max="11" width="18.28515625" style="32" customWidth="1"/>
  </cols>
  <sheetData>
    <row r="1" spans="1:11" s="8" customFormat="1" ht="67.5" customHeight="1" x14ac:dyDescent="0.25">
      <c r="A1" s="1" t="s">
        <v>0</v>
      </c>
      <c r="B1" s="1" t="s">
        <v>1</v>
      </c>
      <c r="C1" s="45" t="s">
        <v>55</v>
      </c>
      <c r="D1" s="46" t="s">
        <v>2</v>
      </c>
      <c r="E1" s="47" t="s">
        <v>3</v>
      </c>
      <c r="F1" s="47" t="s">
        <v>4</v>
      </c>
      <c r="G1" s="50" t="s">
        <v>5</v>
      </c>
      <c r="H1" s="50" t="s">
        <v>6</v>
      </c>
      <c r="I1" s="48" t="s">
        <v>7</v>
      </c>
      <c r="J1" s="5" t="s">
        <v>8</v>
      </c>
      <c r="K1" s="7" t="s">
        <v>9</v>
      </c>
    </row>
    <row r="2" spans="1:11" x14ac:dyDescent="0.25">
      <c r="A2" s="9" t="s">
        <v>10</v>
      </c>
      <c r="B2" s="1">
        <v>2005</v>
      </c>
      <c r="C2" s="41">
        <f>LN('DATA FULL'!C2)</f>
        <v>19.477286235804648</v>
      </c>
      <c r="D2" s="44">
        <f>LN('DATA FULL'!D2)</f>
        <v>8.2687318321177372</v>
      </c>
      <c r="E2" s="42">
        <f>LN('DATA FULL'!E2)</f>
        <v>23.079126506488677</v>
      </c>
      <c r="F2" s="42">
        <f>LN('DATA FULL'!F2)</f>
        <v>28.457807686364216</v>
      </c>
      <c r="G2" s="13">
        <f>LN('DATA FULL'!G2)</f>
        <v>4.5609380083976205</v>
      </c>
      <c r="H2" s="13">
        <f>LN('DATA FULL'!H2)</f>
        <v>4.4602521267032484</v>
      </c>
      <c r="I2" s="14">
        <f>LN('DATA FULL'!I2)</f>
        <v>-1.5939776284590528</v>
      </c>
      <c r="J2" s="13">
        <v>3.3</v>
      </c>
      <c r="K2" s="15">
        <v>0</v>
      </c>
    </row>
    <row r="3" spans="1:11" x14ac:dyDescent="0.25">
      <c r="A3" s="9" t="s">
        <v>10</v>
      </c>
      <c r="B3" s="1">
        <v>2006</v>
      </c>
      <c r="C3" s="41">
        <f>LN('DATA FULL'!C3)</f>
        <v>19.546438059972225</v>
      </c>
      <c r="D3" s="44">
        <f>LN('DATA FULL'!D3)</f>
        <v>8.2687318321177372</v>
      </c>
      <c r="E3" s="42">
        <f>LN('DATA FULL'!E3)</f>
        <v>23.260497384160047</v>
      </c>
      <c r="F3" s="42">
        <f>LN('DATA FULL'!F3)</f>
        <v>28.643392151793126</v>
      </c>
      <c r="G3" s="13">
        <f>LN('DATA FULL'!G3)</f>
        <v>4.5624691354807272</v>
      </c>
      <c r="H3" s="13">
        <f>LN('DATA FULL'!H3)</f>
        <v>4.4766119038078989</v>
      </c>
      <c r="I3" s="14">
        <f>LN('DATA FULL'!I3)</f>
        <v>-1.6130528776785069</v>
      </c>
      <c r="J3" s="13">
        <v>3.3</v>
      </c>
      <c r="K3" s="15">
        <v>0</v>
      </c>
    </row>
    <row r="4" spans="1:11" x14ac:dyDescent="0.25">
      <c r="A4" s="9" t="s">
        <v>10</v>
      </c>
      <c r="B4" s="1">
        <v>2007</v>
      </c>
      <c r="C4" s="41">
        <f>LN('DATA FULL'!C4)</f>
        <v>19.701208645919404</v>
      </c>
      <c r="D4" s="44">
        <f>LN('DATA FULL'!D4)</f>
        <v>8.2687318321177372</v>
      </c>
      <c r="E4" s="42">
        <f>LN('DATA FULL'!E4)</f>
        <v>23.320907952645271</v>
      </c>
      <c r="F4" s="42">
        <f>LN('DATA FULL'!F4)</f>
        <v>28.898061054033093</v>
      </c>
      <c r="G4" s="13">
        <f>LN('DATA FULL'!G4)</f>
        <v>4.5720839225642607</v>
      </c>
      <c r="H4" s="13">
        <f>LN('DATA FULL'!H4)</f>
        <v>4.5236554512770768</v>
      </c>
      <c r="I4" s="14">
        <f>LN('DATA FULL'!I4)</f>
        <v>-1.618950494538137</v>
      </c>
      <c r="J4" s="13">
        <v>3.6</v>
      </c>
      <c r="K4" s="15">
        <v>0</v>
      </c>
    </row>
    <row r="5" spans="1:11" x14ac:dyDescent="0.25">
      <c r="A5" s="9" t="s">
        <v>10</v>
      </c>
      <c r="B5" s="1">
        <v>2008</v>
      </c>
      <c r="C5" s="41">
        <f>LN('DATA FULL'!C5)</f>
        <v>19.198502500808697</v>
      </c>
      <c r="D5" s="44">
        <f>LN('DATA FULL'!D5)</f>
        <v>8.2687318321177372</v>
      </c>
      <c r="E5" s="42">
        <f>LN('DATA FULL'!E5)</f>
        <v>23.491247493658449</v>
      </c>
      <c r="F5" s="42">
        <f>LN('DATA FULL'!F5)</f>
        <v>29.155845527423971</v>
      </c>
      <c r="G5" s="13">
        <f>LN('DATA FULL'!G5)</f>
        <v>4.5927284070540821</v>
      </c>
      <c r="H5" s="13">
        <f>LN('DATA FULL'!H5)</f>
        <v>4.5812189718880054</v>
      </c>
      <c r="I5" s="14">
        <f>LN('DATA FULL'!I5)</f>
        <v>-1.5898885424693092</v>
      </c>
      <c r="J5" s="13">
        <v>2.5</v>
      </c>
      <c r="K5" s="15">
        <v>0</v>
      </c>
    </row>
    <row r="6" spans="1:11" x14ac:dyDescent="0.25">
      <c r="A6" s="9" t="s">
        <v>10</v>
      </c>
      <c r="B6" s="1">
        <v>2009</v>
      </c>
      <c r="C6" s="41">
        <f>LN('DATA FULL'!C6)</f>
        <v>19.878788538033195</v>
      </c>
      <c r="D6" s="44">
        <f>LN('DATA FULL'!D6)</f>
        <v>8.2687318321177372</v>
      </c>
      <c r="E6" s="42">
        <f>LN('DATA FULL'!E6)</f>
        <v>23.200888063719283</v>
      </c>
      <c r="F6" s="42">
        <f>LN('DATA FULL'!F6)</f>
        <v>29.260593193705468</v>
      </c>
      <c r="G6" s="13">
        <f>LN('DATA FULL'!G6)</f>
        <v>4.6030167690492449</v>
      </c>
      <c r="H6" s="13">
        <f>LN('DATA FULL'!H6)</f>
        <v>4.5739106174644144</v>
      </c>
      <c r="I6" s="14">
        <f>LN('DATA FULL'!I6)</f>
        <v>-1.5468221556156101</v>
      </c>
      <c r="J6" s="13">
        <v>2.5</v>
      </c>
      <c r="K6" s="15">
        <v>0</v>
      </c>
    </row>
    <row r="7" spans="1:11" x14ac:dyDescent="0.25">
      <c r="A7" s="9" t="s">
        <v>10</v>
      </c>
      <c r="B7" s="1">
        <v>2010</v>
      </c>
      <c r="C7" s="41">
        <f>LN('DATA FULL'!C7)</f>
        <v>20.480420638987304</v>
      </c>
      <c r="D7" s="44">
        <f>LN('DATA FULL'!D7)</f>
        <v>8.2687318321177372</v>
      </c>
      <c r="E7" s="42">
        <f>LN('DATA FULL'!E7)</f>
        <v>23.341181318043244</v>
      </c>
      <c r="F7" s="42">
        <f>LN('DATA FULL'!F7)</f>
        <v>29.43720796596909</v>
      </c>
      <c r="G7" s="13">
        <f>LN('DATA FULL'!G7)</f>
        <v>4.6052861792606112</v>
      </c>
      <c r="H7" s="13">
        <f>LN('DATA FULL'!H7)</f>
        <v>4.6051701859880918</v>
      </c>
      <c r="I7" s="14">
        <f>LN('DATA FULL'!I7)</f>
        <v>-1.6024789531422621</v>
      </c>
      <c r="J7" s="13">
        <v>2.5</v>
      </c>
      <c r="K7" s="15">
        <v>0</v>
      </c>
    </row>
    <row r="8" spans="1:11" x14ac:dyDescent="0.25">
      <c r="A8" s="9" t="s">
        <v>10</v>
      </c>
      <c r="B8" s="1">
        <v>2011</v>
      </c>
      <c r="C8" s="41">
        <f>LN('DATA FULL'!C8)</f>
        <v>20.570834616168469</v>
      </c>
      <c r="D8" s="44">
        <f>LN('DATA FULL'!D8)</f>
        <v>8.2687318321177372</v>
      </c>
      <c r="E8" s="42">
        <f>LN('DATA FULL'!E8)</f>
        <v>23.642375729829077</v>
      </c>
      <c r="F8" s="42">
        <f>LN('DATA FULL'!F8)</f>
        <v>29.652773387178172</v>
      </c>
      <c r="G8" s="13">
        <f>LN('DATA FULL'!G8)</f>
        <v>4.6066640695881311</v>
      </c>
      <c r="H8" s="13">
        <f>LN('DATA FULL'!H8)</f>
        <v>4.6577626361072619</v>
      </c>
      <c r="I8" s="14">
        <f>LN('DATA FULL'!I8)</f>
        <v>-1.6364014892798697</v>
      </c>
      <c r="J8" s="13">
        <v>2.5</v>
      </c>
      <c r="K8" s="15">
        <v>0</v>
      </c>
    </row>
    <row r="9" spans="1:11" x14ac:dyDescent="0.25">
      <c r="A9" s="9" t="s">
        <v>10</v>
      </c>
      <c r="B9" s="1">
        <v>2012</v>
      </c>
      <c r="C9" s="41">
        <f>LN('DATA FULL'!C9)</f>
        <v>20.442235321758233</v>
      </c>
      <c r="D9" s="44">
        <f>LN('DATA FULL'!D9)</f>
        <v>8.2687318321177372</v>
      </c>
      <c r="E9" s="42">
        <f>LN('DATA FULL'!E9)</f>
        <v>23.670251220741768</v>
      </c>
      <c r="F9" s="42">
        <f>LN('DATA FULL'!F9)</f>
        <v>29.774866644114127</v>
      </c>
      <c r="G9" s="13">
        <f>LN('DATA FULL'!G9)</f>
        <v>4.6077807754322606</v>
      </c>
      <c r="H9" s="13">
        <f>LN('DATA FULL'!H9)</f>
        <v>4.6839813664123815</v>
      </c>
      <c r="I9" s="14">
        <f>LN('DATA FULL'!I9)</f>
        <v>-1.6197082068642346</v>
      </c>
      <c r="J9" s="13">
        <v>2.5</v>
      </c>
      <c r="K9" s="15">
        <v>0</v>
      </c>
    </row>
    <row r="10" spans="1:11" x14ac:dyDescent="0.25">
      <c r="A10" s="9" t="s">
        <v>10</v>
      </c>
      <c r="B10" s="1">
        <v>2013</v>
      </c>
      <c r="C10" s="41">
        <f>LN('DATA FULL'!C10)</f>
        <v>20.151165483631406</v>
      </c>
      <c r="D10" s="44">
        <f>LN('DATA FULL'!D10)</f>
        <v>8.2687318321177372</v>
      </c>
      <c r="E10" s="42">
        <f>LN('DATA FULL'!E10)</f>
        <v>23.618854413522115</v>
      </c>
      <c r="F10" s="42">
        <f>LN('DATA FULL'!F10)</f>
        <v>29.889703548170029</v>
      </c>
      <c r="G10" s="13">
        <f>LN('DATA FULL'!G10)</f>
        <v>4.6116064288681597</v>
      </c>
      <c r="H10" s="13">
        <f>LN('DATA FULL'!H10)</f>
        <v>4.7095302013123339</v>
      </c>
      <c r="I10" s="14">
        <f>LN('DATA FULL'!I10)</f>
        <v>-1.5997892675805874</v>
      </c>
      <c r="J10" s="13">
        <v>2.5</v>
      </c>
      <c r="K10" s="15">
        <v>0</v>
      </c>
    </row>
    <row r="11" spans="1:11" x14ac:dyDescent="0.25">
      <c r="A11" s="9" t="s">
        <v>10</v>
      </c>
      <c r="B11" s="1">
        <v>2014</v>
      </c>
      <c r="C11" s="41">
        <f>LN('DATA FULL'!C11)</f>
        <v>19.924744893974236</v>
      </c>
      <c r="D11" s="44">
        <f>LN('DATA FULL'!D11)</f>
        <v>8.2687318321177372</v>
      </c>
      <c r="E11" s="42">
        <f>LN('DATA FULL'!E11)</f>
        <v>23.562215483501856</v>
      </c>
      <c r="F11" s="42">
        <f>LN('DATA FULL'!F11)</f>
        <v>29.980072240509884</v>
      </c>
      <c r="G11" s="13">
        <f>LN('DATA FULL'!G11)</f>
        <v>4.6095923935986773</v>
      </c>
      <c r="H11" s="13">
        <f>LN('DATA FULL'!H11)</f>
        <v>4.7291561657690826</v>
      </c>
      <c r="I11" s="14">
        <f>LN('DATA FULL'!I11)</f>
        <v>-1.5787003159509057</v>
      </c>
      <c r="J11" s="13">
        <v>1.2</v>
      </c>
      <c r="K11" s="15">
        <v>0</v>
      </c>
    </row>
    <row r="12" spans="1:11" x14ac:dyDescent="0.25">
      <c r="A12" s="9" t="s">
        <v>10</v>
      </c>
      <c r="B12" s="1">
        <v>2015</v>
      </c>
      <c r="C12" s="41">
        <f>LN('DATA FULL'!C12)</f>
        <v>19.97225036876338</v>
      </c>
      <c r="D12" s="44">
        <f>LN('DATA FULL'!D12)</f>
        <v>8.2687318321177372</v>
      </c>
      <c r="E12" s="42">
        <f>LN('DATA FULL'!E12)</f>
        <v>23.282838987895733</v>
      </c>
      <c r="F12" s="42">
        <f>LN('DATA FULL'!F12)</f>
        <v>30.034498291661095</v>
      </c>
      <c r="G12" s="13">
        <f>LN('DATA FULL'!G12)</f>
        <v>4.6049503618285312</v>
      </c>
      <c r="H12" s="13">
        <f>LN('DATA FULL'!H12)</f>
        <v>4.7440621848547098</v>
      </c>
      <c r="I12" s="14">
        <f>LN('DATA FULL'!I12)</f>
        <v>-1.5105842605567357</v>
      </c>
      <c r="J12" s="13">
        <v>1.2</v>
      </c>
      <c r="K12" s="15">
        <v>0</v>
      </c>
    </row>
    <row r="13" spans="1:11" x14ac:dyDescent="0.25">
      <c r="A13" s="9" t="s">
        <v>10</v>
      </c>
      <c r="B13" s="1">
        <v>2016</v>
      </c>
      <c r="C13" s="41">
        <f>LN('DATA FULL'!C13)</f>
        <v>20.167950215030132</v>
      </c>
      <c r="D13" s="44">
        <f>LN('DATA FULL'!D13)</f>
        <v>8.2687318321177372</v>
      </c>
      <c r="E13" s="42">
        <f>LN('DATA FULL'!E13)</f>
        <v>23.15690253026078</v>
      </c>
      <c r="F13" s="42">
        <f>LN('DATA FULL'!F13)</f>
        <v>30.04990491953906</v>
      </c>
      <c r="G13" s="13">
        <f>LN('DATA FULL'!G13)</f>
        <v>4.6021595585940105</v>
      </c>
      <c r="H13" s="13">
        <f>LN('DATA FULL'!H13)</f>
        <v>4.6249728132842707</v>
      </c>
      <c r="I13" s="14">
        <f>LN('DATA FULL'!I13)</f>
        <v>-1.5707270871598213</v>
      </c>
      <c r="J13" s="13">
        <v>1.2</v>
      </c>
      <c r="K13" s="15">
        <v>0</v>
      </c>
    </row>
    <row r="14" spans="1:11" x14ac:dyDescent="0.25">
      <c r="A14" s="9" t="s">
        <v>10</v>
      </c>
      <c r="B14" s="1">
        <v>2017</v>
      </c>
      <c r="C14" s="41">
        <f>LN('DATA FULL'!C14)</f>
        <v>20.633564101276075</v>
      </c>
      <c r="D14" s="44">
        <f>LN('DATA FULL'!D14)</f>
        <v>8.2687318321177372</v>
      </c>
      <c r="E14" s="42">
        <f>LN('DATA FULL'!E14)</f>
        <v>23.218796521850589</v>
      </c>
      <c r="F14" s="42">
        <f>LN('DATA FULL'!F14)</f>
        <v>30.141472968730575</v>
      </c>
      <c r="G14" s="13">
        <f>LN('DATA FULL'!G14)</f>
        <v>4.5894743482757123</v>
      </c>
      <c r="H14" s="13">
        <f>LN('DATA FULL'!H14)</f>
        <v>4.6405373298253823</v>
      </c>
      <c r="I14" s="14">
        <f>LN('DATA FULL'!I14)</f>
        <v>-1.5881096524338696</v>
      </c>
      <c r="J14" s="13">
        <v>0.3</v>
      </c>
      <c r="K14" s="15">
        <v>0</v>
      </c>
    </row>
    <row r="15" spans="1:11" x14ac:dyDescent="0.25">
      <c r="A15" s="9" t="s">
        <v>10</v>
      </c>
      <c r="B15" s="1">
        <v>2018</v>
      </c>
      <c r="C15" s="41">
        <f>LN('DATA FULL'!C15)</f>
        <v>21.349593556201473</v>
      </c>
      <c r="D15" s="44">
        <f>LN('DATA FULL'!D15)</f>
        <v>8.2687318321177372</v>
      </c>
      <c r="E15" s="42">
        <f>LN('DATA FULL'!E15)</f>
        <v>23.330899458837379</v>
      </c>
      <c r="F15" s="42">
        <f>LN('DATA FULL'!F15)</f>
        <v>30.26254354778947</v>
      </c>
      <c r="G15" s="13">
        <f>LN('DATA FULL'!G15)</f>
        <v>4.5986179670074554</v>
      </c>
      <c r="H15" s="13">
        <f>LN('DATA FULL'!H15)</f>
        <v>4.6615505194241988</v>
      </c>
      <c r="I15" s="14">
        <f>LN('DATA FULL'!I15)</f>
        <v>-1.590181276350406</v>
      </c>
      <c r="J15" s="13">
        <v>0.3</v>
      </c>
      <c r="K15" s="15">
        <v>0</v>
      </c>
    </row>
    <row r="16" spans="1:11" x14ac:dyDescent="0.25">
      <c r="A16" s="9" t="s">
        <v>10</v>
      </c>
      <c r="B16" s="1">
        <v>2019</v>
      </c>
      <c r="C16" s="41">
        <f>LN('DATA FULL'!C16)</f>
        <v>20.819324445698815</v>
      </c>
      <c r="D16" s="44">
        <f>LN('DATA FULL'!D16)</f>
        <v>8.2687318321177372</v>
      </c>
      <c r="E16" s="42">
        <f>LN('DATA FULL'!E16)</f>
        <v>23.323674058735925</v>
      </c>
      <c r="F16" s="42">
        <f>LN('DATA FULL'!F16)</f>
        <v>30.289878867392371</v>
      </c>
      <c r="G16" s="13">
        <f>LN('DATA FULL'!G16)</f>
        <v>4.5957599482583715</v>
      </c>
      <c r="H16" s="13">
        <f>LN('DATA FULL'!H16)</f>
        <v>4.6895113344218426</v>
      </c>
      <c r="I16" s="14">
        <f>LN('DATA FULL'!I16)</f>
        <v>-1.6221541451092045</v>
      </c>
      <c r="J16" s="13">
        <v>0.3</v>
      </c>
      <c r="K16" s="15">
        <v>0</v>
      </c>
    </row>
    <row r="17" spans="1:11" x14ac:dyDescent="0.25">
      <c r="A17" s="9" t="s">
        <v>10</v>
      </c>
      <c r="B17" s="1">
        <v>2020</v>
      </c>
      <c r="C17" s="41">
        <f>LN('DATA FULL'!C17)</f>
        <v>21.279391547928025</v>
      </c>
      <c r="D17" s="44">
        <f>LN('DATA FULL'!D17)</f>
        <v>8.2687318321177372</v>
      </c>
      <c r="E17" s="42">
        <f>LN('DATA FULL'!E17)</f>
        <v>23.208655675335756</v>
      </c>
      <c r="F17" s="42">
        <f>LN('DATA FULL'!F17)</f>
        <v>30.318034531545035</v>
      </c>
      <c r="G17" s="13">
        <f>LN('DATA FULL'!G17)</f>
        <v>4.6149492150412312</v>
      </c>
      <c r="H17" s="13">
        <f>LN('DATA FULL'!H17)</f>
        <v>4.7149210499472103</v>
      </c>
      <c r="I17" s="14">
        <f>LN('DATA FULL'!I17)</f>
        <v>-1.6097640338330139</v>
      </c>
      <c r="J17" s="13">
        <v>0.3</v>
      </c>
      <c r="K17" s="15">
        <v>0</v>
      </c>
    </row>
    <row r="18" spans="1:11" x14ac:dyDescent="0.25">
      <c r="A18" s="9" t="s">
        <v>10</v>
      </c>
      <c r="B18" s="1">
        <v>2021</v>
      </c>
      <c r="C18" s="41">
        <f>LN('DATA FULL'!C18)</f>
        <v>21.742349024994521</v>
      </c>
      <c r="D18" s="44">
        <f>LN('DATA FULL'!D18)</f>
        <v>8.2687318321177372</v>
      </c>
      <c r="E18" s="42">
        <f>LN('DATA FULL'!E18)</f>
        <v>23.362787102806568</v>
      </c>
      <c r="F18" s="42">
        <f>LN('DATA FULL'!F18)</f>
        <v>30.511368323769631</v>
      </c>
      <c r="G18" s="13">
        <f>LN('DATA FULL'!G18)</f>
        <v>4.632162591051693</v>
      </c>
      <c r="H18" s="13">
        <f>LN('DATA FULL'!H18)</f>
        <v>4.7238417157055901</v>
      </c>
      <c r="I18" s="14">
        <f>LN('DATA FULL'!I18)</f>
        <v>-1.5684146283347054</v>
      </c>
      <c r="J18" s="13">
        <v>0.3</v>
      </c>
      <c r="K18" s="15">
        <v>0</v>
      </c>
    </row>
    <row r="19" spans="1:11" x14ac:dyDescent="0.25">
      <c r="A19" s="9" t="s">
        <v>10</v>
      </c>
      <c r="B19" s="1">
        <v>2022</v>
      </c>
      <c r="C19" s="41">
        <f>LN('DATA FULL'!C19)</f>
        <v>21.830018317834693</v>
      </c>
      <c r="D19" s="44">
        <f>LN('DATA FULL'!D19)</f>
        <v>8.2687318321177372</v>
      </c>
      <c r="E19" s="42">
        <f>LN('DATA FULL'!E19)</f>
        <v>23.537568342497579</v>
      </c>
      <c r="F19" s="42">
        <f>LN('DATA FULL'!F19)</f>
        <v>30.519344748915039</v>
      </c>
      <c r="G19" s="13">
        <f>LN('DATA FULL'!G19)</f>
        <v>4.6683308833622936</v>
      </c>
      <c r="H19" s="13">
        <f>LN('DATA FULL'!H19)</f>
        <v>4.7431914838854663</v>
      </c>
      <c r="I19" s="14">
        <f>LN('DATA FULL'!I19)</f>
        <v>-1.5863114998351573</v>
      </c>
      <c r="J19" s="16">
        <v>0.3</v>
      </c>
      <c r="K19" s="15">
        <v>0</v>
      </c>
    </row>
    <row r="20" spans="1:11" x14ac:dyDescent="0.25">
      <c r="A20" s="9" t="s">
        <v>10</v>
      </c>
      <c r="B20" s="1">
        <v>2023</v>
      </c>
      <c r="C20" s="41">
        <f>LN('DATA FULL'!C20)</f>
        <v>21.763301176717523</v>
      </c>
      <c r="D20" s="44">
        <f>LN('DATA FULL'!D20)</f>
        <v>8.2687318321177372</v>
      </c>
      <c r="E20" s="42">
        <f>LN('DATA FULL'!E20)</f>
        <v>23.437635010302465</v>
      </c>
      <c r="F20" s="42">
        <f>LN('DATA FULL'!F20)</f>
        <v>30.536301007448845</v>
      </c>
      <c r="G20" s="13">
        <f>LN('DATA FULL'!G20)</f>
        <v>4.6714259817651564</v>
      </c>
      <c r="H20" s="13">
        <f>LN('DATA FULL'!H20)</f>
        <v>4.8844672019054318</v>
      </c>
      <c r="I20" s="14">
        <f>LN('DATA FULL'!I20)</f>
        <v>-1.565066350880894</v>
      </c>
      <c r="J20" s="13">
        <v>0.3</v>
      </c>
      <c r="K20" s="15">
        <v>0</v>
      </c>
    </row>
    <row r="21" spans="1:11" x14ac:dyDescent="0.25">
      <c r="A21" s="9" t="s">
        <v>10</v>
      </c>
      <c r="B21" s="1">
        <v>2024</v>
      </c>
      <c r="C21" s="41">
        <f>LN('DATA FULL'!C21)</f>
        <v>21.756590523986201</v>
      </c>
      <c r="D21" s="44">
        <f>LN('DATA FULL'!D21)</f>
        <v>8.2687318321177372</v>
      </c>
      <c r="E21" s="42">
        <f>LN('DATA FULL'!E21)</f>
        <v>23.461724601289948</v>
      </c>
      <c r="F21" s="42">
        <f>LN('DATA FULL'!F21)</f>
        <v>30.561884316162729</v>
      </c>
      <c r="G21" s="13">
        <f>LN('DATA FULL'!G21)</f>
        <v>4.6675814461094882</v>
      </c>
      <c r="H21" s="13">
        <f>LN('DATA FULL'!H21)</f>
        <v>4.8866581142765444</v>
      </c>
      <c r="I21" s="14">
        <f>LN('DATA FULL'!I21)</f>
        <v>-1.5537840364101771</v>
      </c>
      <c r="J21" s="13">
        <v>0.3</v>
      </c>
      <c r="K21" s="15">
        <v>0</v>
      </c>
    </row>
    <row r="22" spans="1:11" x14ac:dyDescent="0.25">
      <c r="A22" s="9" t="s">
        <v>11</v>
      </c>
      <c r="B22" s="1">
        <v>2005</v>
      </c>
      <c r="C22" s="41">
        <f>LN('DATA FULL'!C22)</f>
        <v>19.897183511114015</v>
      </c>
      <c r="D22" s="44">
        <f>LN('DATA FULL'!D22)</f>
        <v>8.1164170727942047</v>
      </c>
      <c r="E22" s="42">
        <f>LN('DATA FULL'!E22)</f>
        <v>22.845590968596397</v>
      </c>
      <c r="F22" s="42">
        <f>LN('DATA FULL'!F22)</f>
        <v>28.457807686364216</v>
      </c>
      <c r="G22" s="13">
        <f>LN('DATA FULL'!G22)</f>
        <v>4.2330457973186055</v>
      </c>
      <c r="H22" s="13">
        <f>LN('DATA FULL'!H22)</f>
        <v>4.4602521267032484</v>
      </c>
      <c r="I22" s="14">
        <f>LN('DATA FULL'!I22)</f>
        <v>6.2134704847034943</v>
      </c>
      <c r="J22" s="13">
        <v>14.3</v>
      </c>
      <c r="K22" s="15">
        <v>0</v>
      </c>
    </row>
    <row r="23" spans="1:11" x14ac:dyDescent="0.25">
      <c r="A23" s="9" t="s">
        <v>11</v>
      </c>
      <c r="B23" s="1">
        <v>2006</v>
      </c>
      <c r="C23" s="41">
        <f>LN('DATA FULL'!C23)</f>
        <v>20.105921888631595</v>
      </c>
      <c r="D23" s="44">
        <f>LN('DATA FULL'!D23)</f>
        <v>8.1164170727942047</v>
      </c>
      <c r="E23" s="42">
        <f>LN('DATA FULL'!E23)</f>
        <v>23.038561453883947</v>
      </c>
      <c r="F23" s="42">
        <f>LN('DATA FULL'!F23)</f>
        <v>28.643392151793126</v>
      </c>
      <c r="G23" s="13">
        <f>LN('DATA FULL'!G23)</f>
        <v>4.2926661825846804</v>
      </c>
      <c r="H23" s="13">
        <f>LN('DATA FULL'!H23)</f>
        <v>4.4766119038078989</v>
      </c>
      <c r="I23" s="14">
        <f>LN('DATA FULL'!I23)</f>
        <v>6.2434188123881125</v>
      </c>
      <c r="J23" s="13">
        <v>14.3</v>
      </c>
      <c r="K23" s="15">
        <v>0</v>
      </c>
    </row>
    <row r="24" spans="1:11" x14ac:dyDescent="0.25">
      <c r="A24" s="9" t="s">
        <v>11</v>
      </c>
      <c r="B24" s="1">
        <v>2007</v>
      </c>
      <c r="C24" s="41">
        <f>LN('DATA FULL'!C24)</f>
        <v>20.274020511525865</v>
      </c>
      <c r="D24" s="44">
        <f>LN('DATA FULL'!D24)</f>
        <v>8.1164170727942047</v>
      </c>
      <c r="E24" s="42">
        <f>LN('DATA FULL'!E24)</f>
        <v>23.222593337881108</v>
      </c>
      <c r="F24" s="42">
        <f>LN('DATA FULL'!F24)</f>
        <v>28.898061054033093</v>
      </c>
      <c r="G24" s="13">
        <f>LN('DATA FULL'!G24)</f>
        <v>4.3665647128697502</v>
      </c>
      <c r="H24" s="13">
        <f>LN('DATA FULL'!H24)</f>
        <v>4.5236554512770768</v>
      </c>
      <c r="I24" s="14">
        <f>LN('DATA FULL'!I24)</f>
        <v>6.27885476093428</v>
      </c>
      <c r="J24" s="13">
        <v>14.2</v>
      </c>
      <c r="K24" s="15">
        <v>0</v>
      </c>
    </row>
    <row r="25" spans="1:11" x14ac:dyDescent="0.25">
      <c r="A25" s="9" t="s">
        <v>11</v>
      </c>
      <c r="B25" s="1">
        <v>2008</v>
      </c>
      <c r="C25" s="41">
        <f>LN('DATA FULL'!C25)</f>
        <v>20.669710933363458</v>
      </c>
      <c r="D25" s="44">
        <f>LN('DATA FULL'!D25)</f>
        <v>8.1164170727942047</v>
      </c>
      <c r="E25" s="42">
        <f>LN('DATA FULL'!E25)</f>
        <v>23.249226547904136</v>
      </c>
      <c r="F25" s="42">
        <f>LN('DATA FULL'!F25)</f>
        <v>29.155845527423971</v>
      </c>
      <c r="G25" s="13">
        <f>LN('DATA FULL'!G25)</f>
        <v>4.5896846008416192</v>
      </c>
      <c r="H25" s="13">
        <f>LN('DATA FULL'!H25)</f>
        <v>4.5812189718880054</v>
      </c>
      <c r="I25" s="14">
        <f>LN('DATA FULL'!I25)</f>
        <v>6.3689523221577282</v>
      </c>
      <c r="J25" s="13">
        <v>14.2</v>
      </c>
      <c r="K25" s="15">
        <v>0</v>
      </c>
    </row>
    <row r="26" spans="1:11" x14ac:dyDescent="0.25">
      <c r="A26" s="9" t="s">
        <v>11</v>
      </c>
      <c r="B26" s="1">
        <v>2009</v>
      </c>
      <c r="C26" s="41">
        <f>LN('DATA FULL'!C26)</f>
        <v>20.615246992171713</v>
      </c>
      <c r="D26" s="44">
        <f>LN('DATA FULL'!D26)</f>
        <v>8.1164170727942047</v>
      </c>
      <c r="E26" s="42">
        <f>LN('DATA FULL'!E26)</f>
        <v>23.348562730822181</v>
      </c>
      <c r="F26" s="42">
        <f>LN('DATA FULL'!F26)</f>
        <v>29.260593193705468</v>
      </c>
      <c r="G26" s="13">
        <f>LN('DATA FULL'!G26)</f>
        <v>4.5830337735326054</v>
      </c>
      <c r="H26" s="13">
        <f>LN('DATA FULL'!H26)</f>
        <v>4.5739106174644144</v>
      </c>
      <c r="I26" s="14">
        <f>LN('DATA FULL'!I26)</f>
        <v>6.4067580429400248</v>
      </c>
      <c r="J26" s="13">
        <v>14.3</v>
      </c>
      <c r="K26" s="15">
        <v>0</v>
      </c>
    </row>
    <row r="27" spans="1:11" x14ac:dyDescent="0.25">
      <c r="A27" s="9" t="s">
        <v>11</v>
      </c>
      <c r="B27" s="1">
        <v>2010</v>
      </c>
      <c r="C27" s="41">
        <f>LN('DATA FULL'!C27)</f>
        <v>20.946194752427999</v>
      </c>
      <c r="D27" s="44">
        <f>LN('DATA FULL'!D27)</f>
        <v>8.1164170727942047</v>
      </c>
      <c r="E27" s="42">
        <f>LN('DATA FULL'!E27)</f>
        <v>23.497891359987584</v>
      </c>
      <c r="F27" s="42">
        <f>LN('DATA FULL'!F27)</f>
        <v>29.43720796596909</v>
      </c>
      <c r="G27" s="13">
        <f>LN('DATA FULL'!G27)</f>
        <v>4.6222239405539192</v>
      </c>
      <c r="H27" s="13">
        <f>LN('DATA FULL'!H27)</f>
        <v>4.6051701859880918</v>
      </c>
      <c r="I27" s="14">
        <f>LN('DATA FULL'!I27)</f>
        <v>6.4267012458433879</v>
      </c>
      <c r="J27" s="13">
        <v>14.3</v>
      </c>
      <c r="K27" s="15">
        <v>0</v>
      </c>
    </row>
    <row r="28" spans="1:11" x14ac:dyDescent="0.25">
      <c r="A28" s="9" t="s">
        <v>11</v>
      </c>
      <c r="B28" s="1">
        <v>2011</v>
      </c>
      <c r="C28" s="41">
        <f>LN('DATA FULL'!C28)</f>
        <v>21.361345823012801</v>
      </c>
      <c r="D28" s="44">
        <f>LN('DATA FULL'!D28)</f>
        <v>8.1164170727942047</v>
      </c>
      <c r="E28" s="42">
        <f>LN('DATA FULL'!E28)</f>
        <v>23.603954009898423</v>
      </c>
      <c r="F28" s="42">
        <f>LN('DATA FULL'!F28)</f>
        <v>29.652773387178172</v>
      </c>
      <c r="G28" s="13">
        <f>LN('DATA FULL'!G28)</f>
        <v>4.6755615458008979</v>
      </c>
      <c r="H28" s="13">
        <f>LN('DATA FULL'!H28)</f>
        <v>4.6577626361072619</v>
      </c>
      <c r="I28" s="14">
        <f>LN('DATA FULL'!I28)</f>
        <v>6.4427132224484343</v>
      </c>
      <c r="J28" s="13">
        <v>10.9</v>
      </c>
      <c r="K28" s="15">
        <v>0</v>
      </c>
    </row>
    <row r="29" spans="1:11" x14ac:dyDescent="0.25">
      <c r="A29" s="9" t="s">
        <v>11</v>
      </c>
      <c r="B29" s="1">
        <v>2012</v>
      </c>
      <c r="C29" s="41">
        <f>LN('DATA FULL'!C29)</f>
        <v>21.575380959529191</v>
      </c>
      <c r="D29" s="44">
        <f>LN('DATA FULL'!D29)</f>
        <v>8.1164170727942047</v>
      </c>
      <c r="E29" s="42">
        <f>LN('DATA FULL'!E29)</f>
        <v>23.709308076036866</v>
      </c>
      <c r="F29" s="42">
        <f>LN('DATA FULL'!F29)</f>
        <v>29.774866644114127</v>
      </c>
      <c r="G29" s="13">
        <f>LN('DATA FULL'!G29)</f>
        <v>4.7044669542329984</v>
      </c>
      <c r="H29" s="13">
        <f>LN('DATA FULL'!H29)</f>
        <v>4.6839813664123815</v>
      </c>
      <c r="I29" s="14">
        <f>LN('DATA FULL'!I29)</f>
        <v>6.4597604835006885</v>
      </c>
      <c r="J29" s="13">
        <v>10.9</v>
      </c>
      <c r="K29" s="15">
        <v>0</v>
      </c>
    </row>
    <row r="30" spans="1:11" x14ac:dyDescent="0.25">
      <c r="A30" s="9" t="s">
        <v>11</v>
      </c>
      <c r="B30" s="1">
        <v>2013</v>
      </c>
      <c r="C30" s="41">
        <f>LN('DATA FULL'!C30)</f>
        <v>21.911975717091217</v>
      </c>
      <c r="D30" s="44">
        <f>LN('DATA FULL'!D30)</f>
        <v>8.1164170727942047</v>
      </c>
      <c r="E30" s="42">
        <f>LN('DATA FULL'!E30)</f>
        <v>23.816191242251197</v>
      </c>
      <c r="F30" s="42">
        <f>LN('DATA FULL'!F30)</f>
        <v>29.889703548170029</v>
      </c>
      <c r="G30" s="13">
        <f>LN('DATA FULL'!G30)</f>
        <v>4.7334675298461582</v>
      </c>
      <c r="H30" s="13">
        <f>LN('DATA FULL'!H30)</f>
        <v>4.7095302013123339</v>
      </c>
      <c r="I30" s="14">
        <f>LN('DATA FULL'!I30)</f>
        <v>6.4769741196846953</v>
      </c>
      <c r="J30" s="13">
        <v>10.9</v>
      </c>
      <c r="K30" s="15">
        <v>0</v>
      </c>
    </row>
    <row r="31" spans="1:11" x14ac:dyDescent="0.25">
      <c r="A31" s="9" t="s">
        <v>11</v>
      </c>
      <c r="B31" s="1">
        <v>2014</v>
      </c>
      <c r="C31" s="41">
        <f>LN('DATA FULL'!C31)</f>
        <v>22.126093346977324</v>
      </c>
      <c r="D31" s="44">
        <f>LN('DATA FULL'!D31)</f>
        <v>8.1164170727942047</v>
      </c>
      <c r="E31" s="42">
        <f>LN('DATA FULL'!E31)</f>
        <v>23.908550559975033</v>
      </c>
      <c r="F31" s="42">
        <f>LN('DATA FULL'!F31)</f>
        <v>29.980072240509884</v>
      </c>
      <c r="G31" s="13">
        <f>LN('DATA FULL'!G31)</f>
        <v>4.771295454819966</v>
      </c>
      <c r="H31" s="13">
        <f>LN('DATA FULL'!H31)</f>
        <v>4.7291561657690826</v>
      </c>
      <c r="I31" s="14">
        <f>LN('DATA FULL'!I31)</f>
        <v>6.4879970829444709</v>
      </c>
      <c r="J31" s="13">
        <v>11.2</v>
      </c>
      <c r="K31" s="15">
        <v>0</v>
      </c>
    </row>
    <row r="32" spans="1:11" x14ac:dyDescent="0.25">
      <c r="A32" s="9" t="s">
        <v>11</v>
      </c>
      <c r="B32" s="1">
        <v>2015</v>
      </c>
      <c r="C32" s="41">
        <f>LN('DATA FULL'!C32)</f>
        <v>22.192333755419451</v>
      </c>
      <c r="D32" s="44">
        <f>LN('DATA FULL'!D32)</f>
        <v>8.1164170727942047</v>
      </c>
      <c r="E32" s="42">
        <f>LN('DATA FULL'!E32)</f>
        <v>24.002542076036558</v>
      </c>
      <c r="F32" s="42">
        <f>LN('DATA FULL'!F32)</f>
        <v>30.034498291661095</v>
      </c>
      <c r="G32" s="13">
        <f>LN('DATA FULL'!G32)</f>
        <v>4.7834360294842142</v>
      </c>
      <c r="H32" s="13">
        <f>LN('DATA FULL'!H32)</f>
        <v>4.7440621848547098</v>
      </c>
      <c r="I32" s="14">
        <f>LN('DATA FULL'!I32)</f>
        <v>6.4818721507372894</v>
      </c>
      <c r="J32" s="13">
        <v>11.2</v>
      </c>
      <c r="K32" s="15">
        <v>0</v>
      </c>
    </row>
    <row r="33" spans="1:11" x14ac:dyDescent="0.25">
      <c r="A33" s="9" t="s">
        <v>11</v>
      </c>
      <c r="B33" s="1">
        <v>2016</v>
      </c>
      <c r="C33" s="41">
        <f>LN('DATA FULL'!C33)</f>
        <v>22.300486204968323</v>
      </c>
      <c r="D33" s="44">
        <f>LN('DATA FULL'!D33)</f>
        <v>8.1164170727942047</v>
      </c>
      <c r="E33" s="42">
        <f>LN('DATA FULL'!E33)</f>
        <v>24.102751410919645</v>
      </c>
      <c r="F33" s="42">
        <f>LN('DATA FULL'!F33)</f>
        <v>30.04990491953906</v>
      </c>
      <c r="G33" s="13">
        <f>LN('DATA FULL'!G33)</f>
        <v>4.7961612013670969</v>
      </c>
      <c r="H33" s="13">
        <f>LN('DATA FULL'!H33)</f>
        <v>4.6249728132842707</v>
      </c>
      <c r="I33" s="14">
        <f>LN('DATA FULL'!I33)</f>
        <v>6.4148305604845417</v>
      </c>
      <c r="J33" s="13">
        <v>11.2</v>
      </c>
      <c r="K33" s="15">
        <v>0</v>
      </c>
    </row>
    <row r="34" spans="1:11" x14ac:dyDescent="0.25">
      <c r="A34" s="9" t="s">
        <v>11</v>
      </c>
      <c r="B34" s="1">
        <v>2017</v>
      </c>
      <c r="C34" s="41">
        <f>LN('DATA FULL'!C34)</f>
        <v>22.485483941604219</v>
      </c>
      <c r="D34" s="44">
        <f>LN('DATA FULL'!D34)</f>
        <v>8.1164170727942047</v>
      </c>
      <c r="E34" s="42">
        <f>LN('DATA FULL'!E34)</f>
        <v>24.224184629426272</v>
      </c>
      <c r="F34" s="42">
        <f>LN('DATA FULL'!F34)</f>
        <v>30.141472968730575</v>
      </c>
      <c r="G34" s="13">
        <f>LN('DATA FULL'!G34)</f>
        <v>4.8248714453714658</v>
      </c>
      <c r="H34" s="13">
        <f>LN('DATA FULL'!H34)</f>
        <v>4.6405373298253823</v>
      </c>
      <c r="I34" s="14">
        <f>LN('DATA FULL'!I34)</f>
        <v>6.3957766419777906</v>
      </c>
      <c r="J34" s="13">
        <v>11.1</v>
      </c>
      <c r="K34" s="15">
        <v>0</v>
      </c>
    </row>
    <row r="35" spans="1:11" x14ac:dyDescent="0.25">
      <c r="A35" s="9" t="s">
        <v>11</v>
      </c>
      <c r="B35" s="1">
        <v>2018</v>
      </c>
      <c r="C35" s="41">
        <f>LN('DATA FULL'!C35)</f>
        <v>22.726297621570122</v>
      </c>
      <c r="D35" s="44">
        <f>LN('DATA FULL'!D35)</f>
        <v>8.1164170727942047</v>
      </c>
      <c r="E35" s="42">
        <f>LN('DATA FULL'!E35)</f>
        <v>24.325643504418061</v>
      </c>
      <c r="F35" s="42">
        <f>LN('DATA FULL'!F35)</f>
        <v>30.26254354778947</v>
      </c>
      <c r="G35" s="13">
        <f>LN('DATA FULL'!G35)</f>
        <v>4.8491648090413841</v>
      </c>
      <c r="H35" s="13">
        <f>LN('DATA FULL'!H35)</f>
        <v>4.6615505194241988</v>
      </c>
      <c r="I35" s="14">
        <f>LN('DATA FULL'!I35)</f>
        <v>6.4172757570153651</v>
      </c>
      <c r="J35" s="13">
        <v>11.1</v>
      </c>
      <c r="K35" s="15">
        <v>0</v>
      </c>
    </row>
    <row r="36" spans="1:11" x14ac:dyDescent="0.25">
      <c r="A36" s="9" t="s">
        <v>11</v>
      </c>
      <c r="B36" s="1">
        <v>2019</v>
      </c>
      <c r="C36" s="41">
        <f>LN('DATA FULL'!C36)</f>
        <v>22.968705608214805</v>
      </c>
      <c r="D36" s="44">
        <f>LN('DATA FULL'!D36)</f>
        <v>8.1164170727942047</v>
      </c>
      <c r="E36" s="42">
        <f>LN('DATA FULL'!E36)</f>
        <v>24.273402453888728</v>
      </c>
      <c r="F36" s="42">
        <f>LN('DATA FULL'!F36)</f>
        <v>30.289878867392371</v>
      </c>
      <c r="G36" s="13">
        <f>LN('DATA FULL'!G36)</f>
        <v>4.8684042876847204</v>
      </c>
      <c r="H36" s="13">
        <f>LN('DATA FULL'!H36)</f>
        <v>4.6895113344218426</v>
      </c>
      <c r="I36" s="14">
        <f>LN('DATA FULL'!I36)</f>
        <v>6.3764853157529693</v>
      </c>
      <c r="J36" s="13">
        <v>11.1</v>
      </c>
      <c r="K36" s="15">
        <v>0</v>
      </c>
    </row>
    <row r="37" spans="1:11" x14ac:dyDescent="0.25">
      <c r="A37" s="9" t="s">
        <v>11</v>
      </c>
      <c r="B37" s="1">
        <v>2020</v>
      </c>
      <c r="C37" s="41">
        <f>LN('DATA FULL'!C37)</f>
        <v>22.982792446028704</v>
      </c>
      <c r="D37" s="44">
        <f>LN('DATA FULL'!D37)</f>
        <v>8.1164170727942047</v>
      </c>
      <c r="E37" s="42">
        <f>LN('DATA FULL'!E37)</f>
        <v>24.328496355290547</v>
      </c>
      <c r="F37" s="42">
        <f>LN('DATA FULL'!F37)</f>
        <v>30.318034531545035</v>
      </c>
      <c r="G37" s="13">
        <f>LN('DATA FULL'!G37)</f>
        <v>4.8973832630498277</v>
      </c>
      <c r="H37" s="13">
        <f>LN('DATA FULL'!H37)</f>
        <v>4.7149210499472103</v>
      </c>
      <c r="I37" s="14">
        <f>LN('DATA FULL'!I37)</f>
        <v>6.3853479073591881</v>
      </c>
      <c r="J37" s="13">
        <v>10.3</v>
      </c>
      <c r="K37" s="15">
        <v>0</v>
      </c>
    </row>
    <row r="38" spans="1:11" x14ac:dyDescent="0.25">
      <c r="A38" s="9" t="s">
        <v>11</v>
      </c>
      <c r="B38" s="1">
        <v>2021</v>
      </c>
      <c r="C38" s="41">
        <f>LN('DATA FULL'!C38)</f>
        <v>23.339159853202251</v>
      </c>
      <c r="D38" s="44">
        <f>LN('DATA FULL'!D38)</f>
        <v>8.1164170727942047</v>
      </c>
      <c r="E38" s="42">
        <f>LN('DATA FULL'!E38)</f>
        <v>24.412008605709516</v>
      </c>
      <c r="F38" s="42">
        <f>LN('DATA FULL'!F38)</f>
        <v>30.511368323769631</v>
      </c>
      <c r="G38" s="13">
        <f>LN('DATA FULL'!G38)</f>
        <v>4.926172203741765</v>
      </c>
      <c r="H38" s="13">
        <f>LN('DATA FULL'!H38)</f>
        <v>4.7238417157055901</v>
      </c>
      <c r="I38" s="14">
        <f>LN('DATA FULL'!I38)</f>
        <v>6.4545094593619199</v>
      </c>
      <c r="J38" s="13">
        <v>10.199999999999999</v>
      </c>
      <c r="K38" s="15">
        <v>0</v>
      </c>
    </row>
    <row r="39" spans="1:11" x14ac:dyDescent="0.25">
      <c r="A39" s="9" t="s">
        <v>11</v>
      </c>
      <c r="B39" s="1">
        <v>2022</v>
      </c>
      <c r="C39" s="41">
        <f>LN('DATA FULL'!C39)</f>
        <v>23.500061360488946</v>
      </c>
      <c r="D39" s="44">
        <f>LN('DATA FULL'!D39)</f>
        <v>8.1164170727942047</v>
      </c>
      <c r="E39" s="42">
        <f>LN('DATA FULL'!E39)</f>
        <v>24.107819792633418</v>
      </c>
      <c r="F39" s="42">
        <f>LN('DATA FULL'!F39)</f>
        <v>30.519344748915039</v>
      </c>
      <c r="G39" s="13">
        <f>LN('DATA FULL'!G39)</f>
        <v>4.9782303806971111</v>
      </c>
      <c r="H39" s="13">
        <f>LN('DATA FULL'!H39)</f>
        <v>4.7431914838854663</v>
      </c>
      <c r="I39" s="14">
        <f>LN('DATA FULL'!I39)</f>
        <v>6.4116009784945538</v>
      </c>
      <c r="J39" s="13">
        <v>10.199999999999999</v>
      </c>
      <c r="K39" s="15">
        <v>0</v>
      </c>
    </row>
    <row r="40" spans="1:11" x14ac:dyDescent="0.25">
      <c r="A40" s="9" t="s">
        <v>11</v>
      </c>
      <c r="B40" s="39">
        <v>2023</v>
      </c>
      <c r="C40" s="41">
        <f>LN('DATA FULL'!C40)</f>
        <v>23.433445769093943</v>
      </c>
      <c r="D40" s="44">
        <f>LN('DATA FULL'!D40)</f>
        <v>8.1164170727942047</v>
      </c>
      <c r="E40" s="42">
        <f>LN('DATA FULL'!E40)</f>
        <v>24.468895284325427</v>
      </c>
      <c r="F40" s="42">
        <f>LN('DATA FULL'!F40)</f>
        <v>30.536301007448845</v>
      </c>
      <c r="G40" s="13">
        <f>LN('DATA FULL'!G40)</f>
        <v>4.9992819137263682</v>
      </c>
      <c r="H40" s="13">
        <f>LN('DATA FULL'!H40)</f>
        <v>4.8844672019054318</v>
      </c>
      <c r="I40" s="14">
        <f>LN('DATA FULL'!I40)</f>
        <v>6.4429915226199892</v>
      </c>
      <c r="J40" s="13">
        <v>9.75</v>
      </c>
      <c r="K40" s="15">
        <v>0</v>
      </c>
    </row>
    <row r="41" spans="1:11" x14ac:dyDescent="0.25">
      <c r="A41" s="9" t="s">
        <v>11</v>
      </c>
      <c r="B41" s="39">
        <v>2024</v>
      </c>
      <c r="C41" s="41">
        <f>LN('DATA FULL'!C41)</f>
        <v>23.605142166833136</v>
      </c>
      <c r="D41" s="44">
        <f>LN('DATA FULL'!D41)</f>
        <v>8.1164170727942047</v>
      </c>
      <c r="E41" s="42">
        <f>LN('DATA FULL'!E41)</f>
        <v>24.559544237031513</v>
      </c>
      <c r="F41" s="42">
        <f>LN('DATA FULL'!F41)</f>
        <v>30.561884316162729</v>
      </c>
      <c r="G41" s="13">
        <f>LN('DATA FULL'!G41)</f>
        <v>4.9992819137263682</v>
      </c>
      <c r="H41" s="13">
        <f>LN('DATA FULL'!H41)</f>
        <v>4.8866581142765444</v>
      </c>
      <c r="I41" s="14">
        <f>LN('DATA FULL'!I41)</f>
        <v>6.4554687148031151</v>
      </c>
      <c r="J41" s="13">
        <v>9.4700000000000006</v>
      </c>
      <c r="K41" s="15">
        <v>0</v>
      </c>
    </row>
    <row r="42" spans="1:11" x14ac:dyDescent="0.25">
      <c r="A42" s="9" t="s">
        <v>12</v>
      </c>
      <c r="B42" s="1">
        <v>2005</v>
      </c>
      <c r="C42" s="41">
        <f>LN('DATA FULL'!C42)</f>
        <v>23.249411699487034</v>
      </c>
      <c r="D42" s="44">
        <f>LN('DATA FULL'!D42)</f>
        <v>8.5600610916434139</v>
      </c>
      <c r="E42" s="42">
        <f>LN('DATA FULL'!E42)</f>
        <v>26.378798168781699</v>
      </c>
      <c r="F42" s="42">
        <f>LN('DATA FULL'!F42)</f>
        <v>28.457807686364216</v>
      </c>
      <c r="G42" s="13">
        <f>LN('DATA FULL'!G42)</f>
        <v>4.2544317290469298</v>
      </c>
      <c r="H42" s="13">
        <f>LN('DATA FULL'!H42)</f>
        <v>4.4602521267032484</v>
      </c>
      <c r="I42" s="14">
        <f>LN('DATA FULL'!I42)</f>
        <v>7.0769290521255508</v>
      </c>
      <c r="J42" s="13">
        <v>6.9</v>
      </c>
      <c r="K42" s="15">
        <v>0</v>
      </c>
    </row>
    <row r="43" spans="1:11" x14ac:dyDescent="0.25">
      <c r="A43" s="9" t="s">
        <v>12</v>
      </c>
      <c r="B43" s="1">
        <v>2006</v>
      </c>
      <c r="C43" s="41">
        <f>LN('DATA FULL'!C43)</f>
        <v>23.430012952534685</v>
      </c>
      <c r="D43" s="44">
        <f>LN('DATA FULL'!D43)</f>
        <v>8.5600610916434139</v>
      </c>
      <c r="E43" s="42">
        <f>LN('DATA FULL'!E43)</f>
        <v>26.62198582817102</v>
      </c>
      <c r="F43" s="42">
        <f>LN('DATA FULL'!F43)</f>
        <v>28.643392151793126</v>
      </c>
      <c r="G43" s="13">
        <f>LN('DATA FULL'!G43)</f>
        <v>4.3775415918892078</v>
      </c>
      <c r="H43" s="13">
        <f>LN('DATA FULL'!H43)</f>
        <v>4.4766119038078989</v>
      </c>
      <c r="I43" s="14">
        <f>LN('DATA FULL'!I43)</f>
        <v>7.046411045952671</v>
      </c>
      <c r="J43" s="13">
        <v>6.9</v>
      </c>
      <c r="K43" s="15">
        <v>0</v>
      </c>
    </row>
    <row r="44" spans="1:11" x14ac:dyDescent="0.25">
      <c r="A44" s="9" t="s">
        <v>12</v>
      </c>
      <c r="B44" s="1">
        <v>2007</v>
      </c>
      <c r="C44" s="41">
        <f>LN('DATA FULL'!C44)</f>
        <v>23.626520357116426</v>
      </c>
      <c r="D44" s="44">
        <f>LN('DATA FULL'!D44)</f>
        <v>8.5600610916434139</v>
      </c>
      <c r="E44" s="42">
        <f>LN('DATA FULL'!E44)</f>
        <v>26.792193007189415</v>
      </c>
      <c r="F44" s="42">
        <f>LN('DATA FULL'!F44)</f>
        <v>28.898061054033093</v>
      </c>
      <c r="G44" s="13">
        <f>LN('DATA FULL'!G44)</f>
        <v>4.4388265398128208</v>
      </c>
      <c r="H44" s="13">
        <f>LN('DATA FULL'!H44)</f>
        <v>4.5236554512770768</v>
      </c>
      <c r="I44" s="14">
        <f>LN('DATA FULL'!I44)</f>
        <v>7.0913861927740536</v>
      </c>
      <c r="J44" s="13">
        <v>6.9</v>
      </c>
      <c r="K44" s="15">
        <v>0</v>
      </c>
    </row>
    <row r="45" spans="1:11" x14ac:dyDescent="0.25">
      <c r="A45" s="9" t="s">
        <v>12</v>
      </c>
      <c r="B45" s="1">
        <v>2008</v>
      </c>
      <c r="C45" s="41">
        <f>LN('DATA FULL'!C45)</f>
        <v>24.014860563788329</v>
      </c>
      <c r="D45" s="44">
        <f>LN('DATA FULL'!D45)</f>
        <v>8.5600610916434139</v>
      </c>
      <c r="E45" s="42">
        <f>LN('DATA FULL'!E45)</f>
        <v>26.958124766112999</v>
      </c>
      <c r="F45" s="42">
        <f>LN('DATA FULL'!F45)</f>
        <v>29.155845527423971</v>
      </c>
      <c r="G45" s="13">
        <f>LN('DATA FULL'!G45)</f>
        <v>4.5329367481043681</v>
      </c>
      <c r="H45" s="13">
        <f>LN('DATA FULL'!H45)</f>
        <v>4.5812189718880054</v>
      </c>
      <c r="I45" s="14">
        <f>LN('DATA FULL'!I45)</f>
        <v>7.2412260843396608</v>
      </c>
      <c r="J45" s="13">
        <v>6.9</v>
      </c>
      <c r="K45" s="15">
        <v>0</v>
      </c>
    </row>
    <row r="46" spans="1:11" x14ac:dyDescent="0.25">
      <c r="A46" s="9" t="s">
        <v>12</v>
      </c>
      <c r="B46" s="1">
        <v>2009</v>
      </c>
      <c r="C46" s="41">
        <f>LN('DATA FULL'!C46)</f>
        <v>23.962003023346686</v>
      </c>
      <c r="D46" s="44">
        <f>LN('DATA FULL'!D46)</f>
        <v>8.5600610916434139</v>
      </c>
      <c r="E46" s="42">
        <f>LN('DATA FULL'!E46)</f>
        <v>27.014057054765768</v>
      </c>
      <c r="F46" s="42">
        <f>LN('DATA FULL'!F46)</f>
        <v>29.260593193705468</v>
      </c>
      <c r="G46" s="13">
        <f>LN('DATA FULL'!G46)</f>
        <v>4.5798472497855238</v>
      </c>
      <c r="H46" s="13">
        <f>LN('DATA FULL'!H46)</f>
        <v>4.5739106174644144</v>
      </c>
      <c r="I46" s="14">
        <f>LN('DATA FULL'!I46)</f>
        <v>7.3270610883590628</v>
      </c>
      <c r="J46" s="13">
        <v>6.8</v>
      </c>
      <c r="K46" s="15">
        <v>0</v>
      </c>
    </row>
    <row r="47" spans="1:11" x14ac:dyDescent="0.25">
      <c r="A47" s="9" t="s">
        <v>12</v>
      </c>
      <c r="B47" s="1">
        <v>2010</v>
      </c>
      <c r="C47" s="41">
        <f>LN('DATA FULL'!C47)</f>
        <v>24.310024780551402</v>
      </c>
      <c r="D47" s="44">
        <f>LN('DATA FULL'!D47)</f>
        <v>8.5600610916434139</v>
      </c>
      <c r="E47" s="42">
        <f>LN('DATA FULL'!E47)</f>
        <v>27.350108290501563</v>
      </c>
      <c r="F47" s="42">
        <f>LN('DATA FULL'!F47)</f>
        <v>29.43720796596909</v>
      </c>
      <c r="G47" s="13">
        <f>LN('DATA FULL'!G47)</f>
        <v>4.6299779139036588</v>
      </c>
      <c r="H47" s="13">
        <f>LN('DATA FULL'!H47)</f>
        <v>4.6051701859880918</v>
      </c>
      <c r="I47" s="14">
        <f>LN('DATA FULL'!I47)</f>
        <v>7.2024370329726466</v>
      </c>
      <c r="J47" s="13">
        <v>6.8</v>
      </c>
      <c r="K47" s="15">
        <v>1</v>
      </c>
    </row>
    <row r="48" spans="1:11" x14ac:dyDescent="0.25">
      <c r="A48" s="9" t="s">
        <v>12</v>
      </c>
      <c r="B48" s="1">
        <v>2011</v>
      </c>
      <c r="C48" s="41">
        <f>LN('DATA FULL'!C48)</f>
        <v>24.618207631420255</v>
      </c>
      <c r="D48" s="44">
        <f>LN('DATA FULL'!D48)</f>
        <v>8.5600610916434139</v>
      </c>
      <c r="E48" s="42">
        <f>LN('DATA FULL'!E48)</f>
        <v>27.517817819870736</v>
      </c>
      <c r="F48" s="42">
        <f>LN('DATA FULL'!F48)</f>
        <v>29.652773387178172</v>
      </c>
      <c r="G48" s="13">
        <f>LN('DATA FULL'!G48)</f>
        <v>4.6820321481419853</v>
      </c>
      <c r="H48" s="13">
        <f>LN('DATA FULL'!H48)</f>
        <v>4.6577626361072619</v>
      </c>
      <c r="I48" s="14">
        <f>LN('DATA FULL'!I48)</f>
        <v>7.2132859912631435</v>
      </c>
      <c r="J48" s="13">
        <v>7</v>
      </c>
      <c r="K48" s="15">
        <v>0</v>
      </c>
    </row>
    <row r="49" spans="1:11" x14ac:dyDescent="0.25">
      <c r="A49" s="9" t="s">
        <v>12</v>
      </c>
      <c r="B49" s="1">
        <v>2012</v>
      </c>
      <c r="C49" s="41">
        <f>LN('DATA FULL'!C49)</f>
        <v>24.65600428704381</v>
      </c>
      <c r="D49" s="44">
        <f>LN('DATA FULL'!D49)</f>
        <v>8.5600610916434139</v>
      </c>
      <c r="E49" s="42">
        <f>LN('DATA FULL'!E49)</f>
        <v>27.545321510916256</v>
      </c>
      <c r="F49" s="42">
        <f>LN('DATA FULL'!F49)</f>
        <v>29.774866644114127</v>
      </c>
      <c r="G49" s="13">
        <f>LN('DATA FULL'!G49)</f>
        <v>4.7210723427892072</v>
      </c>
      <c r="H49" s="13">
        <f>LN('DATA FULL'!H49)</f>
        <v>4.6839813664123815</v>
      </c>
      <c r="I49" s="14">
        <f>LN('DATA FULL'!I49)</f>
        <v>7.3045362151948039</v>
      </c>
      <c r="J49" s="13">
        <v>7</v>
      </c>
      <c r="K49" s="15">
        <v>0</v>
      </c>
    </row>
    <row r="50" spans="1:11" x14ac:dyDescent="0.25">
      <c r="A50" s="9" t="s">
        <v>12</v>
      </c>
      <c r="B50" s="1">
        <v>2013</v>
      </c>
      <c r="C50" s="41">
        <f>LN('DATA FULL'!C50)</f>
        <v>24.68314427827875</v>
      </c>
      <c r="D50" s="44">
        <f>LN('DATA FULL'!D50)</f>
        <v>8.5600610916434139</v>
      </c>
      <c r="E50" s="42">
        <f>LN('DATA FULL'!E50)</f>
        <v>27.53948037325106</v>
      </c>
      <c r="F50" s="42">
        <f>LN('DATA FULL'!F50)</f>
        <v>29.889703548170029</v>
      </c>
      <c r="G50" s="13">
        <f>LN('DATA FULL'!G50)</f>
        <v>4.783210926481904</v>
      </c>
      <c r="H50" s="13">
        <f>LN('DATA FULL'!H50)</f>
        <v>4.7095302013123339</v>
      </c>
      <c r="I50" s="14">
        <f>LN('DATA FULL'!I50)</f>
        <v>7.4315673572445364</v>
      </c>
      <c r="J50" s="13">
        <v>6.8</v>
      </c>
      <c r="K50" s="15">
        <v>1</v>
      </c>
    </row>
    <row r="51" spans="1:11" x14ac:dyDescent="0.25">
      <c r="A51" s="9" t="s">
        <v>12</v>
      </c>
      <c r="B51" s="1">
        <v>2014</v>
      </c>
      <c r="C51" s="41">
        <f>LN('DATA FULL'!C51)</f>
        <v>24.59925856836945</v>
      </c>
      <c r="D51" s="44">
        <f>LN('DATA FULL'!D51)</f>
        <v>8.5600610916434139</v>
      </c>
      <c r="E51" s="42">
        <f>LN('DATA FULL'!E51)</f>
        <v>27.515402336554288</v>
      </c>
      <c r="F51" s="42">
        <f>LN('DATA FULL'!F51)</f>
        <v>29.980072240509884</v>
      </c>
      <c r="G51" s="13">
        <f>LN('DATA FULL'!G51)</f>
        <v>4.8452219838383845</v>
      </c>
      <c r="H51" s="13">
        <f>LN('DATA FULL'!H51)</f>
        <v>4.7291561657690826</v>
      </c>
      <c r="I51" s="14">
        <f>LN('DATA FULL'!I51)</f>
        <v>7.5659820924936962</v>
      </c>
      <c r="J51" s="13">
        <v>6.9</v>
      </c>
      <c r="K51" s="15">
        <v>0</v>
      </c>
    </row>
    <row r="52" spans="1:11" x14ac:dyDescent="0.25">
      <c r="A52" s="9" t="s">
        <v>12</v>
      </c>
      <c r="B52" s="1">
        <v>2015</v>
      </c>
      <c r="C52" s="41">
        <f>LN('DATA FULL'!C52)</f>
        <v>24.517770652793356</v>
      </c>
      <c r="D52" s="44">
        <f>LN('DATA FULL'!D52)</f>
        <v>8.5600610916434139</v>
      </c>
      <c r="E52" s="42">
        <f>LN('DATA FULL'!E52)</f>
        <v>27.481191027025265</v>
      </c>
      <c r="F52" s="42">
        <f>LN('DATA FULL'!F52)</f>
        <v>30.034498291661095</v>
      </c>
      <c r="G52" s="13">
        <f>LN('DATA FULL'!G52)</f>
        <v>4.9068912490233796</v>
      </c>
      <c r="H52" s="13">
        <f>LN('DATA FULL'!H52)</f>
        <v>4.7440621848547098</v>
      </c>
      <c r="I52" s="14">
        <f>LN('DATA FULL'!I52)</f>
        <v>7.6732464450145867</v>
      </c>
      <c r="J52" s="13">
        <v>6.9</v>
      </c>
      <c r="K52" s="15">
        <v>0</v>
      </c>
    </row>
    <row r="53" spans="1:11" x14ac:dyDescent="0.25">
      <c r="A53" s="9" t="s">
        <v>12</v>
      </c>
      <c r="B53" s="1">
        <v>2016</v>
      </c>
      <c r="C53" s="41">
        <f>LN('DATA FULL'!C53)</f>
        <v>24.713945312976076</v>
      </c>
      <c r="D53" s="44">
        <f>LN('DATA FULL'!D53)</f>
        <v>8.5600610916434139</v>
      </c>
      <c r="E53" s="42">
        <f>LN('DATA FULL'!E53)</f>
        <v>27.560467059323575</v>
      </c>
      <c r="F53" s="42">
        <f>LN('DATA FULL'!F53)</f>
        <v>30.04990491953906</v>
      </c>
      <c r="G53" s="13">
        <f>LN('DATA FULL'!G53)</f>
        <v>4.9197302857214007</v>
      </c>
      <c r="H53" s="13">
        <f>LN('DATA FULL'!H53)</f>
        <v>4.6249728132842707</v>
      </c>
      <c r="I53" s="14">
        <f>LN('DATA FULL'!I53)</f>
        <v>7.6023590855424352</v>
      </c>
      <c r="J53" s="13">
        <v>7.9</v>
      </c>
      <c r="K53" s="15">
        <v>0</v>
      </c>
    </row>
    <row r="54" spans="1:11" x14ac:dyDescent="0.25">
      <c r="A54" s="9" t="s">
        <v>12</v>
      </c>
      <c r="B54" s="1">
        <v>2017</v>
      </c>
      <c r="C54" s="41">
        <f>LN('DATA FULL'!C54)</f>
        <v>24.872592790768959</v>
      </c>
      <c r="D54" s="44">
        <f>LN('DATA FULL'!D54)</f>
        <v>8.5600610916434139</v>
      </c>
      <c r="E54" s="42">
        <f>LN('DATA FULL'!E54)</f>
        <v>27.646519142848973</v>
      </c>
      <c r="F54" s="42">
        <f>LN('DATA FULL'!F54)</f>
        <v>30.141472968730575</v>
      </c>
      <c r="G54" s="13">
        <f>LN('DATA FULL'!G54)</f>
        <v>4.9571108266952635</v>
      </c>
      <c r="H54" s="13">
        <f>LN('DATA FULL'!H54)</f>
        <v>4.6405373298253823</v>
      </c>
      <c r="I54" s="14">
        <f>LN('DATA FULL'!I54)</f>
        <v>7.5907399402576496</v>
      </c>
      <c r="J54" s="13">
        <v>8.1</v>
      </c>
      <c r="K54" s="15">
        <v>0</v>
      </c>
    </row>
    <row r="55" spans="1:11" x14ac:dyDescent="0.25">
      <c r="A55" s="9" t="s">
        <v>12</v>
      </c>
      <c r="B55" s="1">
        <v>2018</v>
      </c>
      <c r="C55" s="41">
        <f>LN('DATA FULL'!C55)</f>
        <v>25.073075241613491</v>
      </c>
      <c r="D55" s="44">
        <f>LN('DATA FULL'!D55)</f>
        <v>8.5600610916434139</v>
      </c>
      <c r="E55" s="42">
        <f>LN('DATA FULL'!E55)</f>
        <v>27.672423613593331</v>
      </c>
      <c r="F55" s="42">
        <f>LN('DATA FULL'!F55)</f>
        <v>30.26254354778947</v>
      </c>
      <c r="G55" s="13">
        <f>LN('DATA FULL'!G55)</f>
        <v>4.988593470521848</v>
      </c>
      <c r="H55" s="13">
        <f>LN('DATA FULL'!H55)</f>
        <v>4.6615505194241988</v>
      </c>
      <c r="I55" s="14">
        <f>LN('DATA FULL'!I55)</f>
        <v>7.674110702971519</v>
      </c>
      <c r="J55" s="13">
        <v>8.1</v>
      </c>
      <c r="K55" s="15">
        <v>0</v>
      </c>
    </row>
    <row r="56" spans="1:11" x14ac:dyDescent="0.25">
      <c r="A56" s="9" t="s">
        <v>12</v>
      </c>
      <c r="B56" s="1">
        <v>2019</v>
      </c>
      <c r="C56" s="41">
        <f>LN('DATA FULL'!C56)</f>
        <v>25.101262182053134</v>
      </c>
      <c r="D56" s="44">
        <f>LN('DATA FULL'!D56)</f>
        <v>8.5600610916434139</v>
      </c>
      <c r="E56" s="42">
        <f>LN('DATA FULL'!E56)</f>
        <v>27.743545791812114</v>
      </c>
      <c r="F56" s="42">
        <f>LN('DATA FULL'!F56)</f>
        <v>30.289878867392371</v>
      </c>
      <c r="G56" s="13">
        <f>LN('DATA FULL'!G56)</f>
        <v>5.0184491864441911</v>
      </c>
      <c r="H56" s="13">
        <f>LN('DATA FULL'!H56)</f>
        <v>4.6895113344218426</v>
      </c>
      <c r="I56" s="14">
        <f>LN('DATA FULL'!I56)</f>
        <v>7.6245694287164705</v>
      </c>
      <c r="J56" s="13">
        <v>8.1</v>
      </c>
      <c r="K56" s="15">
        <v>0</v>
      </c>
    </row>
    <row r="57" spans="1:11" x14ac:dyDescent="0.25">
      <c r="A57" s="9" t="s">
        <v>12</v>
      </c>
      <c r="B57" s="1">
        <v>2020</v>
      </c>
      <c r="C57" s="41">
        <f>LN('DATA FULL'!C57)</f>
        <v>25.086216363749699</v>
      </c>
      <c r="D57" s="44">
        <f>LN('DATA FULL'!D57)</f>
        <v>8.5600610916434139</v>
      </c>
      <c r="E57" s="42">
        <f>LN('DATA FULL'!E57)</f>
        <v>27.688397968457597</v>
      </c>
      <c r="F57" s="42">
        <f>LN('DATA FULL'!F57)</f>
        <v>30.318034531545035</v>
      </c>
      <c r="G57" s="13">
        <f>LN('DATA FULL'!G57)</f>
        <v>5.0374766899356782</v>
      </c>
      <c r="H57" s="13">
        <f>LN('DATA FULL'!H57)</f>
        <v>4.7149210499472103</v>
      </c>
      <c r="I57" s="14">
        <f>LN('DATA FULL'!I57)</f>
        <v>7.6559245197316637</v>
      </c>
      <c r="J57" s="13">
        <v>8.1</v>
      </c>
      <c r="K57" s="15">
        <v>0</v>
      </c>
    </row>
    <row r="58" spans="1:11" x14ac:dyDescent="0.25">
      <c r="A58" s="9" t="s">
        <v>12</v>
      </c>
      <c r="B58" s="1">
        <v>2021</v>
      </c>
      <c r="C58" s="41">
        <f>LN('DATA FULL'!C58)</f>
        <v>25.546218081506666</v>
      </c>
      <c r="D58" s="44">
        <f>LN('DATA FULL'!D58)</f>
        <v>8.5600610916434139</v>
      </c>
      <c r="E58" s="42">
        <f>LN('DATA FULL'!E58)</f>
        <v>27.802037080582156</v>
      </c>
      <c r="F58" s="42">
        <f>LN('DATA FULL'!F58)</f>
        <v>30.511368323769631</v>
      </c>
      <c r="G58" s="13">
        <f>LN('DATA FULL'!G58)</f>
        <v>5.0529575398818736</v>
      </c>
      <c r="H58" s="13">
        <f>LN('DATA FULL'!H58)</f>
        <v>4.7238417157055901</v>
      </c>
      <c r="I58" s="14">
        <f>LN('DATA FULL'!I58)</f>
        <v>7.7046629263222455</v>
      </c>
      <c r="J58" s="13">
        <v>8.1</v>
      </c>
      <c r="K58" s="15">
        <v>0</v>
      </c>
    </row>
    <row r="59" spans="1:11" x14ac:dyDescent="0.25">
      <c r="A59" s="9" t="s">
        <v>12</v>
      </c>
      <c r="B59" s="1">
        <v>2022</v>
      </c>
      <c r="C59" s="41">
        <f>LN('DATA FULL'!C59)</f>
        <v>25.729948548128466</v>
      </c>
      <c r="D59" s="44">
        <f>LN('DATA FULL'!D59)</f>
        <v>8.5600610916434139</v>
      </c>
      <c r="E59" s="42">
        <f>LN('DATA FULL'!E59)</f>
        <v>27.907971698912664</v>
      </c>
      <c r="F59" s="42">
        <f>LN('DATA FULL'!F59)</f>
        <v>30.519344748915039</v>
      </c>
      <c r="G59" s="13">
        <f>LN('DATA FULL'!G59)</f>
        <v>5.0941903028318354</v>
      </c>
      <c r="H59" s="13">
        <f>LN('DATA FULL'!H59)</f>
        <v>4.7431914838854663</v>
      </c>
      <c r="I59" s="14">
        <f>LN('DATA FULL'!I59)</f>
        <v>7.6981071172647146</v>
      </c>
      <c r="J59" s="13">
        <v>8.1</v>
      </c>
      <c r="K59" s="15">
        <v>0</v>
      </c>
    </row>
    <row r="60" spans="1:11" x14ac:dyDescent="0.25">
      <c r="A60" s="9" t="s">
        <v>12</v>
      </c>
      <c r="B60" s="39">
        <v>2023</v>
      </c>
      <c r="C60" s="41">
        <f>LN('DATA FULL'!C60)</f>
        <v>25.667314640903438</v>
      </c>
      <c r="D60" s="44">
        <f>LN('DATA FULL'!D60)</f>
        <v>8.5600610916434139</v>
      </c>
      <c r="E60" s="42">
        <f>LN('DATA FULL'!E60)</f>
        <v>27.946684996531452</v>
      </c>
      <c r="F60" s="42">
        <f>LN('DATA FULL'!F60)</f>
        <v>30.536301007448845</v>
      </c>
      <c r="G60" s="13">
        <f>LN('DATA FULL'!G60)</f>
        <v>5.1302341618906073</v>
      </c>
      <c r="H60" s="13">
        <f>LN('DATA FULL'!H60)</f>
        <v>4.8844672019054318</v>
      </c>
      <c r="I60" s="14">
        <f>LN('DATA FULL'!I60)</f>
        <v>7.72740307810892</v>
      </c>
      <c r="J60" s="13">
        <v>8.1</v>
      </c>
      <c r="K60" s="15">
        <v>0</v>
      </c>
    </row>
    <row r="61" spans="1:11" x14ac:dyDescent="0.25">
      <c r="A61" s="9" t="s">
        <v>12</v>
      </c>
      <c r="B61" s="39">
        <v>2024</v>
      </c>
      <c r="C61" s="41">
        <f>LN('DATA FULL'!C61)</f>
        <v>25.720393649177534</v>
      </c>
      <c r="D61" s="44">
        <f>LN('DATA FULL'!D61)</f>
        <v>8.5600610916434139</v>
      </c>
      <c r="E61" s="42">
        <f>LN('DATA FULL'!E61)</f>
        <v>27.964847067216819</v>
      </c>
      <c r="F61" s="42">
        <f>LN('DATA FULL'!F61)</f>
        <v>30.561884316162729</v>
      </c>
      <c r="G61" s="13">
        <f>LN('DATA FULL'!G61)</f>
        <v>5.1302341618906073</v>
      </c>
      <c r="H61" s="13">
        <f>LN('DATA FULL'!H61)</f>
        <v>4.8866581142765444</v>
      </c>
      <c r="I61" s="14">
        <f>LN('DATA FULL'!I61)</f>
        <v>7.7472609812745326</v>
      </c>
      <c r="J61" s="13">
        <v>8.1</v>
      </c>
      <c r="K61" s="15">
        <v>0</v>
      </c>
    </row>
    <row r="62" spans="1:11" x14ac:dyDescent="0.25">
      <c r="A62" s="9" t="s">
        <v>13</v>
      </c>
      <c r="B62" s="1">
        <v>2005</v>
      </c>
      <c r="C62" s="41">
        <f>LN('DATA FULL'!C62)</f>
        <v>18.726356993262673</v>
      </c>
      <c r="D62" s="44">
        <f>LN('DATA FULL'!D62)</f>
        <v>7.9294865233142895</v>
      </c>
      <c r="E62" s="42">
        <f>LN('DATA FULL'!E62)</f>
        <v>21.729601542536464</v>
      </c>
      <c r="F62" s="42">
        <f>LN('DATA FULL'!F62)</f>
        <v>28.457807686364216</v>
      </c>
      <c r="G62" s="13">
        <f>LN('DATA FULL'!G62)</f>
        <v>4.3995116273481827</v>
      </c>
      <c r="H62" s="13">
        <f>LN('DATA FULL'!H62)</f>
        <v>4.4602521267032484</v>
      </c>
      <c r="I62" s="14">
        <f>LN('DATA FULL'!I62)</f>
        <v>7.1703593619771446</v>
      </c>
      <c r="J62" s="13">
        <v>9.6999999999999993</v>
      </c>
      <c r="K62" s="15">
        <v>0</v>
      </c>
    </row>
    <row r="63" spans="1:11" x14ac:dyDescent="0.25">
      <c r="A63" s="9" t="s">
        <v>13</v>
      </c>
      <c r="B63" s="1">
        <v>2006</v>
      </c>
      <c r="C63" s="41">
        <f>LN('DATA FULL'!C63)</f>
        <v>19.234568515620026</v>
      </c>
      <c r="D63" s="44">
        <f>LN('DATA FULL'!D63)</f>
        <v>7.9294865233142895</v>
      </c>
      <c r="E63" s="42">
        <f>LN('DATA FULL'!E63)</f>
        <v>21.963096994845557</v>
      </c>
      <c r="F63" s="42">
        <f>LN('DATA FULL'!F63)</f>
        <v>28.643392151793126</v>
      </c>
      <c r="G63" s="13">
        <f>LN('DATA FULL'!G63)</f>
        <v>4.4629470724142717</v>
      </c>
      <c r="H63" s="13">
        <f>LN('DATA FULL'!H63)</f>
        <v>4.4766119038078989</v>
      </c>
      <c r="I63" s="14">
        <f>LN('DATA FULL'!I63)</f>
        <v>7.1494701632844242</v>
      </c>
      <c r="J63" s="13">
        <v>9.6999999999999993</v>
      </c>
      <c r="K63" s="15">
        <v>0</v>
      </c>
    </row>
    <row r="64" spans="1:11" x14ac:dyDescent="0.25">
      <c r="A64" s="9" t="s">
        <v>13</v>
      </c>
      <c r="B64" s="1">
        <v>2007</v>
      </c>
      <c r="C64" s="41">
        <f>LN('DATA FULL'!C64)</f>
        <v>19.407369285259136</v>
      </c>
      <c r="D64" s="44">
        <f>LN('DATA FULL'!D64)</f>
        <v>7.9294865233142895</v>
      </c>
      <c r="E64" s="42">
        <f>LN('DATA FULL'!E64)</f>
        <v>22.163847780617473</v>
      </c>
      <c r="F64" s="42">
        <f>LN('DATA FULL'!F64)</f>
        <v>28.898061054033093</v>
      </c>
      <c r="G64" s="13">
        <f>LN('DATA FULL'!G64)</f>
        <v>4.5084896676987141</v>
      </c>
      <c r="H64" s="13">
        <f>LN('DATA FULL'!H64)</f>
        <v>4.5236554512770768</v>
      </c>
      <c r="I64" s="14">
        <f>LN('DATA FULL'!I64)</f>
        <v>7.140663714080361</v>
      </c>
      <c r="J64" s="13">
        <v>9.6999999999999993</v>
      </c>
      <c r="K64" s="15">
        <v>0</v>
      </c>
    </row>
    <row r="65" spans="1:11" x14ac:dyDescent="0.25">
      <c r="A65" s="9" t="s">
        <v>13</v>
      </c>
      <c r="B65" s="1">
        <v>2008</v>
      </c>
      <c r="C65" s="41">
        <f>LN('DATA FULL'!C65)</f>
        <v>19.86820021009197</v>
      </c>
      <c r="D65" s="44">
        <f>LN('DATA FULL'!D65)</f>
        <v>7.9294865233142895</v>
      </c>
      <c r="E65" s="42">
        <f>LN('DATA FULL'!E65)</f>
        <v>22.418226764832955</v>
      </c>
      <c r="F65" s="42">
        <f>LN('DATA FULL'!F65)</f>
        <v>29.155845527423971</v>
      </c>
      <c r="G65" s="13">
        <f>LN('DATA FULL'!G65)</f>
        <v>4.5820183383096103</v>
      </c>
      <c r="H65" s="13">
        <f>LN('DATA FULL'!H65)</f>
        <v>4.5812189718880054</v>
      </c>
      <c r="I65" s="14">
        <f>LN('DATA FULL'!I65)</f>
        <v>7.1371381082606549</v>
      </c>
      <c r="J65" s="13">
        <v>9.6999999999999993</v>
      </c>
      <c r="K65" s="15">
        <v>0</v>
      </c>
    </row>
    <row r="66" spans="1:11" x14ac:dyDescent="0.25">
      <c r="A66" s="9" t="s">
        <v>13</v>
      </c>
      <c r="B66" s="1">
        <v>2009</v>
      </c>
      <c r="C66" s="41">
        <f>LN('DATA FULL'!C66)</f>
        <v>20.389717896001692</v>
      </c>
      <c r="D66" s="44">
        <f>LN('DATA FULL'!D66)</f>
        <v>7.9294865233142895</v>
      </c>
      <c r="E66" s="42">
        <f>LN('DATA FULL'!E66)</f>
        <v>22.487334998795657</v>
      </c>
      <c r="F66" s="42">
        <f>LN('DATA FULL'!F66)</f>
        <v>29.260593193705468</v>
      </c>
      <c r="G66" s="13">
        <f>LN('DATA FULL'!G66)</f>
        <v>4.5834121882004748</v>
      </c>
      <c r="H66" s="13">
        <f>LN('DATA FULL'!H66)</f>
        <v>4.5739106174644144</v>
      </c>
      <c r="I66" s="14">
        <f>LN('DATA FULL'!I66)</f>
        <v>7.1276240022147386</v>
      </c>
      <c r="J66" s="13">
        <v>9.6999999999999993</v>
      </c>
      <c r="K66" s="15">
        <v>0</v>
      </c>
    </row>
    <row r="67" spans="1:11" x14ac:dyDescent="0.25">
      <c r="A67" s="9" t="s">
        <v>13</v>
      </c>
      <c r="B67" s="1">
        <v>2010</v>
      </c>
      <c r="C67" s="41">
        <f>LN('DATA FULL'!C67)</f>
        <v>20.75790201098766</v>
      </c>
      <c r="D67" s="44">
        <f>LN('DATA FULL'!D67)</f>
        <v>7.9294865233142895</v>
      </c>
      <c r="E67" s="42">
        <f>LN('DATA FULL'!E67)</f>
        <v>22.68782542968826</v>
      </c>
      <c r="F67" s="42">
        <f>LN('DATA FULL'!F67)</f>
        <v>29.43720796596909</v>
      </c>
      <c r="G67" s="13">
        <f>LN('DATA FULL'!G67)</f>
        <v>4.6415175442389227</v>
      </c>
      <c r="H67" s="13">
        <f>LN('DATA FULL'!H67)</f>
        <v>4.6051701859880918</v>
      </c>
      <c r="I67" s="14">
        <f>LN('DATA FULL'!I67)</f>
        <v>7.1064065946954535</v>
      </c>
      <c r="J67" s="13">
        <v>9.6999999999999993</v>
      </c>
      <c r="K67" s="15">
        <v>0</v>
      </c>
    </row>
    <row r="68" spans="1:11" x14ac:dyDescent="0.25">
      <c r="A68" s="9" t="s">
        <v>13</v>
      </c>
      <c r="B68" s="1">
        <v>2011</v>
      </c>
      <c r="C68" s="41">
        <f>LN('DATA FULL'!C68)</f>
        <v>20.951959594132941</v>
      </c>
      <c r="D68" s="44">
        <f>LN('DATA FULL'!D68)</f>
        <v>7.9294865233142895</v>
      </c>
      <c r="E68" s="42">
        <f>LN('DATA FULL'!E68)</f>
        <v>22.892331493492804</v>
      </c>
      <c r="F68" s="42">
        <f>LN('DATA FULL'!F68)</f>
        <v>29.652773387178172</v>
      </c>
      <c r="G68" s="13">
        <f>LN('DATA FULL'!G68)</f>
        <v>4.7144908498975555</v>
      </c>
      <c r="H68" s="13">
        <f>LN('DATA FULL'!H68)</f>
        <v>4.6577626361072619</v>
      </c>
      <c r="I68" s="14">
        <f>LN('DATA FULL'!I68)</f>
        <v>7.125091152479623</v>
      </c>
      <c r="J68" s="13">
        <v>9.6999999999999993</v>
      </c>
      <c r="K68" s="15">
        <v>0</v>
      </c>
    </row>
    <row r="69" spans="1:11" x14ac:dyDescent="0.25">
      <c r="A69" s="9" t="s">
        <v>13</v>
      </c>
      <c r="B69" s="1">
        <v>2012</v>
      </c>
      <c r="C69" s="41">
        <f>LN('DATA FULL'!C69)</f>
        <v>21.271890978099076</v>
      </c>
      <c r="D69" s="44">
        <f>LN('DATA FULL'!D69)</f>
        <v>7.9294865233142895</v>
      </c>
      <c r="E69" s="42">
        <f>LN('DATA FULL'!E69)</f>
        <v>23.044951971908969</v>
      </c>
      <c r="F69" s="42">
        <f>LN('DATA FULL'!F69)</f>
        <v>29.774866644114127</v>
      </c>
      <c r="G69" s="13">
        <f>LN('DATA FULL'!G69)</f>
        <v>4.7561567223318386</v>
      </c>
      <c r="H69" s="13">
        <f>LN('DATA FULL'!H69)</f>
        <v>4.6839813664123815</v>
      </c>
      <c r="I69" s="14">
        <f>LN('DATA FULL'!I69)</f>
        <v>7.1456607269460788</v>
      </c>
      <c r="J69" s="13">
        <v>9.6999999999999993</v>
      </c>
      <c r="K69" s="15">
        <v>0</v>
      </c>
    </row>
    <row r="70" spans="1:11" x14ac:dyDescent="0.25">
      <c r="A70" s="9" t="s">
        <v>13</v>
      </c>
      <c r="B70" s="1">
        <v>2013</v>
      </c>
      <c r="C70" s="41">
        <f>LN('DATA FULL'!C70)</f>
        <v>21.748112761738238</v>
      </c>
      <c r="D70" s="44">
        <f>LN('DATA FULL'!D70)</f>
        <v>7.9294865233142895</v>
      </c>
      <c r="E70" s="42">
        <f>LN('DATA FULL'!E70)</f>
        <v>23.206775897502943</v>
      </c>
      <c r="F70" s="42">
        <f>LN('DATA FULL'!F70)</f>
        <v>29.889703548170029</v>
      </c>
      <c r="G70" s="13">
        <f>LN('DATA FULL'!G70)</f>
        <v>4.8179328417694638</v>
      </c>
      <c r="H70" s="13">
        <f>LN('DATA FULL'!H70)</f>
        <v>4.7095302013123339</v>
      </c>
      <c r="I70" s="14">
        <f>LN('DATA FULL'!I70)</f>
        <v>7.1456944587155373</v>
      </c>
      <c r="J70" s="13">
        <v>9.6999999999999993</v>
      </c>
      <c r="K70" s="15">
        <v>0</v>
      </c>
    </row>
    <row r="71" spans="1:11" x14ac:dyDescent="0.25">
      <c r="A71" s="9" t="s">
        <v>13</v>
      </c>
      <c r="B71" s="1">
        <v>2014</v>
      </c>
      <c r="C71" s="41">
        <f>LN('DATA FULL'!C71)</f>
        <v>22.009710589427453</v>
      </c>
      <c r="D71" s="44">
        <f>LN('DATA FULL'!D71)</f>
        <v>7.9294865233142895</v>
      </c>
      <c r="E71" s="42">
        <f>LN('DATA FULL'!E71)</f>
        <v>23.309468193718583</v>
      </c>
      <c r="F71" s="42">
        <f>LN('DATA FULL'!F71)</f>
        <v>29.980072240509884</v>
      </c>
      <c r="G71" s="13">
        <f>LN('DATA FULL'!G71)</f>
        <v>4.8584028843230813</v>
      </c>
      <c r="H71" s="13">
        <f>LN('DATA FULL'!H71)</f>
        <v>4.7291561657690826</v>
      </c>
      <c r="I71" s="14">
        <f>LN('DATA FULL'!I71)</f>
        <v>7.1779143263467207</v>
      </c>
      <c r="J71" s="13">
        <v>10</v>
      </c>
      <c r="K71" s="15">
        <v>0</v>
      </c>
    </row>
    <row r="72" spans="1:11" x14ac:dyDescent="0.25">
      <c r="A72" s="9" t="s">
        <v>13</v>
      </c>
      <c r="B72" s="1">
        <v>2015</v>
      </c>
      <c r="C72" s="41">
        <f>LN('DATA FULL'!C72)</f>
        <v>21.669781520009412</v>
      </c>
      <c r="D72" s="44">
        <f>LN('DATA FULL'!D72)</f>
        <v>7.9294865233142895</v>
      </c>
      <c r="E72" s="42">
        <f>LN('DATA FULL'!E72)</f>
        <v>23.392324320718782</v>
      </c>
      <c r="F72" s="42">
        <f>LN('DATA FULL'!F72)</f>
        <v>30.034498291661095</v>
      </c>
      <c r="G72" s="13">
        <f>LN('DATA FULL'!G72)</f>
        <v>4.8710858291461703</v>
      </c>
      <c r="H72" s="13">
        <f>LN('DATA FULL'!H72)</f>
        <v>4.7440621848547098</v>
      </c>
      <c r="I72" s="14">
        <f>LN('DATA FULL'!I72)</f>
        <v>7.1765433314779976</v>
      </c>
      <c r="J72" s="13">
        <v>10</v>
      </c>
      <c r="K72" s="15">
        <v>0</v>
      </c>
    </row>
    <row r="73" spans="1:11" x14ac:dyDescent="0.25">
      <c r="A73" s="9" t="s">
        <v>13</v>
      </c>
      <c r="B73" s="1">
        <v>2016</v>
      </c>
      <c r="C73" s="41">
        <f>LN('DATA FULL'!C73)</f>
        <v>21.572946321913722</v>
      </c>
      <c r="D73" s="44">
        <f>LN('DATA FULL'!D73)</f>
        <v>7.9294865233142895</v>
      </c>
      <c r="E73" s="42">
        <f>LN('DATA FULL'!E73)</f>
        <v>23.490370909085343</v>
      </c>
      <c r="F73" s="42">
        <f>LN('DATA FULL'!F73)</f>
        <v>30.04990491953906</v>
      </c>
      <c r="G73" s="13">
        <f>LN('DATA FULL'!G73)</f>
        <v>4.8505683305808862</v>
      </c>
      <c r="H73" s="13">
        <f>LN('DATA FULL'!H73)</f>
        <v>4.6249728132842707</v>
      </c>
      <c r="I73" s="14">
        <f>LN('DATA FULL'!I73)</f>
        <v>7.1155718716870773</v>
      </c>
      <c r="J73" s="13">
        <v>8.5</v>
      </c>
      <c r="K73" s="15">
        <v>0</v>
      </c>
    </row>
    <row r="74" spans="1:11" x14ac:dyDescent="0.25">
      <c r="A74" s="9" t="s">
        <v>13</v>
      </c>
      <c r="B74" s="1">
        <v>2017</v>
      </c>
      <c r="C74" s="41">
        <f>LN('DATA FULL'!C74)</f>
        <v>21.799098019725093</v>
      </c>
      <c r="D74" s="44">
        <f>LN('DATA FULL'!D74)</f>
        <v>7.9294865233142895</v>
      </c>
      <c r="E74" s="42">
        <f>LN('DATA FULL'!E74)</f>
        <v>23.560656062235093</v>
      </c>
      <c r="F74" s="42">
        <f>LN('DATA FULL'!F74)</f>
        <v>30.141472968730575</v>
      </c>
      <c r="G74" s="13">
        <f>LN('DATA FULL'!G74)</f>
        <v>4.8587892322546002</v>
      </c>
      <c r="H74" s="13">
        <f>LN('DATA FULL'!H74)</f>
        <v>4.6405373298253823</v>
      </c>
      <c r="I74" s="14">
        <f>LN('DATA FULL'!I74)</f>
        <v>7.1190254117242562</v>
      </c>
      <c r="J74" s="13">
        <v>8.5</v>
      </c>
      <c r="K74" s="15">
        <v>0</v>
      </c>
    </row>
    <row r="75" spans="1:11" x14ac:dyDescent="0.25">
      <c r="A75" s="9" t="s">
        <v>13</v>
      </c>
      <c r="B75" s="1">
        <v>2018</v>
      </c>
      <c r="C75" s="41">
        <f>LN('DATA FULL'!C75)</f>
        <v>21.967525917848441</v>
      </c>
      <c r="D75" s="44">
        <f>LN('DATA FULL'!D75)</f>
        <v>7.9294865233142895</v>
      </c>
      <c r="E75" s="42">
        <f>LN('DATA FULL'!E75)</f>
        <v>23.621475745556651</v>
      </c>
      <c r="F75" s="42">
        <f>LN('DATA FULL'!F75)</f>
        <v>30.26254354778947</v>
      </c>
      <c r="G75" s="13">
        <f>LN('DATA FULL'!G75)</f>
        <v>4.8789877877187431</v>
      </c>
      <c r="H75" s="13">
        <f>LN('DATA FULL'!H75)</f>
        <v>4.6615505194241988</v>
      </c>
      <c r="I75" s="14">
        <f>LN('DATA FULL'!I75)</f>
        <v>7.1561031483106357</v>
      </c>
      <c r="J75" s="13">
        <v>8.5</v>
      </c>
      <c r="K75" s="15">
        <v>0</v>
      </c>
    </row>
    <row r="76" spans="1:11" x14ac:dyDescent="0.25">
      <c r="A76" s="9" t="s">
        <v>13</v>
      </c>
      <c r="B76" s="1">
        <v>2019</v>
      </c>
      <c r="C76" s="41">
        <f>LN('DATA FULL'!C76)</f>
        <v>22.09254758550183</v>
      </c>
      <c r="D76" s="44">
        <f>LN('DATA FULL'!D76)</f>
        <v>7.9294865233142895</v>
      </c>
      <c r="E76" s="42">
        <f>LN('DATA FULL'!E76)</f>
        <v>23.653956076624524</v>
      </c>
      <c r="F76" s="42">
        <f>LN('DATA FULL'!F76)</f>
        <v>30.289878867392371</v>
      </c>
      <c r="G76" s="13">
        <f>LN('DATA FULL'!G76)</f>
        <v>4.9116733355495041</v>
      </c>
      <c r="H76" s="13">
        <f>LN('DATA FULL'!H76)</f>
        <v>4.6895113344218426</v>
      </c>
      <c r="I76" s="14">
        <f>LN('DATA FULL'!I76)</f>
        <v>7.1494061866395269</v>
      </c>
      <c r="J76" s="13">
        <v>8.6</v>
      </c>
      <c r="K76" s="15">
        <v>0</v>
      </c>
    </row>
    <row r="77" spans="1:11" x14ac:dyDescent="0.25">
      <c r="A77" s="9" t="s">
        <v>13</v>
      </c>
      <c r="B77" s="1">
        <v>2020</v>
      </c>
      <c r="C77" s="41">
        <f>LN('DATA FULL'!C77)</f>
        <v>22.011925760917332</v>
      </c>
      <c r="D77" s="44">
        <f>LN('DATA FULL'!D77)</f>
        <v>7.9294865233142895</v>
      </c>
      <c r="E77" s="42">
        <f>LN('DATA FULL'!E77)</f>
        <v>23.666746738895117</v>
      </c>
      <c r="F77" s="42">
        <f>LN('DATA FULL'!F77)</f>
        <v>30.318034531545035</v>
      </c>
      <c r="G77" s="13">
        <f>LN('DATA FULL'!G77)</f>
        <v>4.9614541767373153</v>
      </c>
      <c r="H77" s="13">
        <f>LN('DATA FULL'!H77)</f>
        <v>4.7149210499472103</v>
      </c>
      <c r="I77" s="14">
        <f>LN('DATA FULL'!I77)</f>
        <v>7.1892135849206547</v>
      </c>
      <c r="J77" s="13">
        <v>8.6</v>
      </c>
      <c r="K77" s="15">
        <v>0</v>
      </c>
    </row>
    <row r="78" spans="1:11" x14ac:dyDescent="0.25">
      <c r="A78" s="9" t="s">
        <v>13</v>
      </c>
      <c r="B78" s="1">
        <v>2021</v>
      </c>
      <c r="C78" s="41">
        <f>LN('DATA FULL'!C78)</f>
        <v>22.178535557333248</v>
      </c>
      <c r="D78" s="44">
        <f>LN('DATA FULL'!D78)</f>
        <v>7.9294865233142895</v>
      </c>
      <c r="E78" s="42">
        <f>LN('DATA FULL'!E78)</f>
        <v>23.658565735909193</v>
      </c>
      <c r="F78" s="42">
        <f>LN('DATA FULL'!F78)</f>
        <v>30.511368323769631</v>
      </c>
      <c r="G78" s="13">
        <f>LN('DATA FULL'!G78)</f>
        <v>4.9983223206008578</v>
      </c>
      <c r="H78" s="13">
        <f>LN('DATA FULL'!H78)</f>
        <v>4.7238417157055901</v>
      </c>
      <c r="I78" s="14">
        <f>LN('DATA FULL'!I78)</f>
        <v>7.25692495741285</v>
      </c>
      <c r="J78" s="13">
        <v>8.6</v>
      </c>
      <c r="K78" s="15">
        <v>0</v>
      </c>
    </row>
    <row r="79" spans="1:11" x14ac:dyDescent="0.25">
      <c r="A79" s="9" t="s">
        <v>13</v>
      </c>
      <c r="B79" s="1">
        <v>2022</v>
      </c>
      <c r="C79" s="41">
        <f>LN('DATA FULL'!C79)</f>
        <v>22.460501538369346</v>
      </c>
      <c r="D79" s="44">
        <f>LN('DATA FULL'!D79)</f>
        <v>7.9294865233142895</v>
      </c>
      <c r="E79" s="42">
        <f>LN('DATA FULL'!E79)</f>
        <v>23.46208997251097</v>
      </c>
      <c r="F79" s="42">
        <f>LN('DATA FULL'!F79)</f>
        <v>30.519344748915039</v>
      </c>
      <c r="G79" s="13">
        <f>LN('DATA FULL'!G79)</f>
        <v>5.2049805121057897</v>
      </c>
      <c r="H79" s="13">
        <f>LN('DATA FULL'!H79)</f>
        <v>4.7431914838854663</v>
      </c>
      <c r="I79" s="14">
        <f>LN('DATA FULL'!I79)</f>
        <v>7.6416874496845786</v>
      </c>
      <c r="J79" s="13">
        <v>8.6</v>
      </c>
      <c r="K79" s="15">
        <v>0</v>
      </c>
    </row>
    <row r="80" spans="1:11" x14ac:dyDescent="0.25">
      <c r="A80" s="9" t="s">
        <v>13</v>
      </c>
      <c r="B80" s="39">
        <v>2023</v>
      </c>
      <c r="C80" s="41">
        <f>LN('DATA FULL'!C80)</f>
        <v>22.686196604380108</v>
      </c>
      <c r="D80" s="44">
        <f>LN('DATA FULL'!D80)</f>
        <v>7.9294865233142895</v>
      </c>
      <c r="E80" s="42">
        <f>LN('DATA FULL'!E80)</f>
        <v>23.486003428947964</v>
      </c>
      <c r="F80" s="42">
        <f>LN('DATA FULL'!F80)</f>
        <v>30.536301007448845</v>
      </c>
      <c r="G80" s="13">
        <f>LN('DATA FULL'!G80)</f>
        <v>5.4767628574536626</v>
      </c>
      <c r="H80" s="13">
        <f>LN('DATA FULL'!H80)</f>
        <v>4.8844672019054318</v>
      </c>
      <c r="I80" s="14">
        <f>LN('DATA FULL'!I80)</f>
        <v>7.7693494904382661</v>
      </c>
      <c r="J80" s="13">
        <v>8.6466666666666701</v>
      </c>
      <c r="K80" s="15">
        <v>0</v>
      </c>
    </row>
    <row r="81" spans="1:11" x14ac:dyDescent="0.25">
      <c r="A81" s="9" t="s">
        <v>13</v>
      </c>
      <c r="B81" s="39">
        <v>2024</v>
      </c>
      <c r="C81" s="41">
        <f>LN('DATA FULL'!C81)</f>
        <v>22.828770393371869</v>
      </c>
      <c r="D81" s="44">
        <f>LN('DATA FULL'!D81)</f>
        <v>7.9294865233142895</v>
      </c>
      <c r="E81" s="42">
        <f>LN('DATA FULL'!E81)</f>
        <v>23.526803966968611</v>
      </c>
      <c r="F81" s="42">
        <f>LN('DATA FULL'!F81)</f>
        <v>30.561884316162729</v>
      </c>
      <c r="G81" s="13">
        <f>LN('DATA FULL'!G81)</f>
        <v>5.6848380052180598</v>
      </c>
      <c r="H81" s="13">
        <f>LN('DATA FULL'!H81)</f>
        <v>4.8866581142765444</v>
      </c>
      <c r="I81" s="14">
        <f>LN('DATA FULL'!I81)</f>
        <v>7.9179110827409858</v>
      </c>
      <c r="J81" s="13">
        <v>8.6695238095238096</v>
      </c>
      <c r="K81" s="15">
        <v>0</v>
      </c>
    </row>
    <row r="82" spans="1:11" x14ac:dyDescent="0.25">
      <c r="A82" s="9" t="s">
        <v>14</v>
      </c>
      <c r="B82" s="1">
        <v>2005</v>
      </c>
      <c r="C82" s="41">
        <f>LN('DATA FULL'!C82)</f>
        <v>23.835876456871038</v>
      </c>
      <c r="D82" s="44">
        <f>LN('DATA FULL'!D82)</f>
        <v>8.3774712482411005</v>
      </c>
      <c r="E82" s="42">
        <f>LN('DATA FULL'!E82)</f>
        <v>25.689840605209223</v>
      </c>
      <c r="F82" s="42">
        <f>LN('DATA FULL'!F82)</f>
        <v>28.457807686364216</v>
      </c>
      <c r="G82" s="13">
        <f>LN('DATA FULL'!G82)</f>
        <v>4.4798449165589656</v>
      </c>
      <c r="H82" s="13">
        <f>LN('DATA FULL'!H82)</f>
        <v>4.4602521267032484</v>
      </c>
      <c r="I82" s="14">
        <f>LN('DATA FULL'!I82)</f>
        <v>-0.7718424702905845</v>
      </c>
      <c r="J82" s="13">
        <v>8.5</v>
      </c>
      <c r="K82" s="15">
        <v>0</v>
      </c>
    </row>
    <row r="83" spans="1:11" x14ac:dyDescent="0.25">
      <c r="A83" s="9" t="s">
        <v>14</v>
      </c>
      <c r="B83" s="1">
        <v>2006</v>
      </c>
      <c r="C83" s="41">
        <f>LN('DATA FULL'!C83)</f>
        <v>24.0386661456896</v>
      </c>
      <c r="D83" s="44">
        <f>LN('DATA FULL'!D83)</f>
        <v>8.3774712482411005</v>
      </c>
      <c r="E83" s="42">
        <f>LN('DATA FULL'!E83)</f>
        <v>25.815126267415192</v>
      </c>
      <c r="F83" s="42">
        <f>LN('DATA FULL'!F83)</f>
        <v>28.643392151793126</v>
      </c>
      <c r="G83" s="13">
        <f>LN('DATA FULL'!G83)</f>
        <v>4.5154113290387405</v>
      </c>
      <c r="H83" s="13">
        <f>LN('DATA FULL'!H83)</f>
        <v>4.4766119038078989</v>
      </c>
      <c r="I83" s="14">
        <f>LN('DATA FULL'!I83)</f>
        <v>-0.77642101218206827</v>
      </c>
      <c r="J83" s="13">
        <v>8.5</v>
      </c>
      <c r="K83" s="15">
        <v>0</v>
      </c>
    </row>
    <row r="84" spans="1:11" x14ac:dyDescent="0.25">
      <c r="A84" s="9" t="s">
        <v>14</v>
      </c>
      <c r="B84" s="1">
        <v>2007</v>
      </c>
      <c r="C84" s="41">
        <f>LN('DATA FULL'!C84)</f>
        <v>24.260156751405834</v>
      </c>
      <c r="D84" s="44">
        <f>LN('DATA FULL'!D84)</f>
        <v>8.3774712482411005</v>
      </c>
      <c r="E84" s="42">
        <f>LN('DATA FULL'!E84)</f>
        <v>25.988799489621083</v>
      </c>
      <c r="F84" s="42">
        <f>LN('DATA FULL'!F84)</f>
        <v>28.898061054033093</v>
      </c>
      <c r="G84" s="13">
        <f>LN('DATA FULL'!G84)</f>
        <v>4.5354764260790814</v>
      </c>
      <c r="H84" s="13">
        <f>LN('DATA FULL'!H84)</f>
        <v>4.5236554512770768</v>
      </c>
      <c r="I84" s="14">
        <f>LN('DATA FULL'!I84)</f>
        <v>-0.79437422814895009</v>
      </c>
      <c r="J84" s="13">
        <v>8.4</v>
      </c>
      <c r="K84" s="15">
        <v>0</v>
      </c>
    </row>
    <row r="85" spans="1:11" x14ac:dyDescent="0.25">
      <c r="A85" s="9" t="s">
        <v>14</v>
      </c>
      <c r="B85" s="1">
        <v>2008</v>
      </c>
      <c r="C85" s="41">
        <f>LN('DATA FULL'!C85)</f>
        <v>24.390236280442117</v>
      </c>
      <c r="D85" s="44">
        <f>LN('DATA FULL'!D85)</f>
        <v>8.3774712482411005</v>
      </c>
      <c r="E85" s="42">
        <f>LN('DATA FULL'!E85)</f>
        <v>26.164867692542934</v>
      </c>
      <c r="F85" s="42">
        <f>LN('DATA FULL'!F85)</f>
        <v>29.155845527423971</v>
      </c>
      <c r="G85" s="13">
        <f>LN('DATA FULL'!G85)</f>
        <v>4.5883460505777673</v>
      </c>
      <c r="H85" s="13">
        <f>LN('DATA FULL'!H85)</f>
        <v>4.5812189718880054</v>
      </c>
      <c r="I85" s="14">
        <f>LN('DATA FULL'!I85)</f>
        <v>-0.73382559246194123</v>
      </c>
      <c r="J85" s="13">
        <v>8.8000000000000007</v>
      </c>
      <c r="K85" s="15">
        <v>0</v>
      </c>
    </row>
    <row r="86" spans="1:11" x14ac:dyDescent="0.25">
      <c r="A86" s="9" t="s">
        <v>14</v>
      </c>
      <c r="B86" s="1">
        <v>2009</v>
      </c>
      <c r="C86" s="41">
        <f>LN('DATA FULL'!C86)</f>
        <v>24.323135271532859</v>
      </c>
      <c r="D86" s="44">
        <f>LN('DATA FULL'!D86)</f>
        <v>8.3774712482411005</v>
      </c>
      <c r="E86" s="42">
        <f>LN('DATA FULL'!E86)</f>
        <v>26.032807242819846</v>
      </c>
      <c r="F86" s="42">
        <f>LN('DATA FULL'!F86)</f>
        <v>29.260593193705468</v>
      </c>
      <c r="G86" s="13">
        <f>LN('DATA FULL'!G86)</f>
        <v>4.5942116600770406</v>
      </c>
      <c r="H86" s="13">
        <f>LN('DATA FULL'!H86)</f>
        <v>4.5739106174644144</v>
      </c>
      <c r="I86" s="14">
        <f>LN('DATA FULL'!I86)</f>
        <v>-0.66179257223760524</v>
      </c>
      <c r="J86" s="13">
        <v>8</v>
      </c>
      <c r="K86" s="15">
        <v>0</v>
      </c>
    </row>
    <row r="87" spans="1:11" x14ac:dyDescent="0.25">
      <c r="A87" s="9" t="s">
        <v>14</v>
      </c>
      <c r="B87" s="1">
        <v>2010</v>
      </c>
      <c r="C87" s="41">
        <f>LN('DATA FULL'!C87)</f>
        <v>24.543046967670019</v>
      </c>
      <c r="D87" s="44">
        <f>LN('DATA FULL'!D87)</f>
        <v>8.3774712482411005</v>
      </c>
      <c r="E87" s="42">
        <f>LN('DATA FULL'!E87)</f>
        <v>26.264598550126752</v>
      </c>
      <c r="F87" s="42">
        <f>LN('DATA FULL'!F87)</f>
        <v>29.43720796596909</v>
      </c>
      <c r="G87" s="13">
        <f>LN('DATA FULL'!G87)</f>
        <v>4.6113550204080838</v>
      </c>
      <c r="H87" s="13">
        <f>LN('DATA FULL'!H87)</f>
        <v>4.6051701859880918</v>
      </c>
      <c r="I87" s="14">
        <f>LN('DATA FULL'!I87)</f>
        <v>-0.74282197074862477</v>
      </c>
      <c r="J87" s="13">
        <v>6.5</v>
      </c>
      <c r="K87" s="15">
        <v>0</v>
      </c>
    </row>
    <row r="88" spans="1:11" x14ac:dyDescent="0.25">
      <c r="A88" s="9" t="s">
        <v>14</v>
      </c>
      <c r="B88" s="1">
        <v>2011</v>
      </c>
      <c r="C88" s="41">
        <f>LN('DATA FULL'!C88)</f>
        <v>24.725142586033389</v>
      </c>
      <c r="D88" s="44">
        <f>LN('DATA FULL'!D88)</f>
        <v>8.3774712482411005</v>
      </c>
      <c r="E88" s="42">
        <f>LN('DATA FULL'!E88)</f>
        <v>26.420197124643384</v>
      </c>
      <c r="F88" s="42">
        <f>LN('DATA FULL'!F88)</f>
        <v>29.652773387178172</v>
      </c>
      <c r="G88" s="13">
        <f>LN('DATA FULL'!G88)</f>
        <v>4.6426066159467592</v>
      </c>
      <c r="H88" s="13">
        <f>LN('DATA FULL'!H88)</f>
        <v>4.6577626361072619</v>
      </c>
      <c r="I88" s="14">
        <f>LN('DATA FULL'!I88)</f>
        <v>-0.7474396039654615</v>
      </c>
      <c r="J88" s="13">
        <v>6.5</v>
      </c>
      <c r="K88" s="15">
        <v>0</v>
      </c>
    </row>
    <row r="89" spans="1:11" x14ac:dyDescent="0.25">
      <c r="A89" s="9" t="s">
        <v>14</v>
      </c>
      <c r="B89" s="1">
        <v>2012</v>
      </c>
      <c r="C89" s="41">
        <f>LN('DATA FULL'!C89)</f>
        <v>24.793045474038667</v>
      </c>
      <c r="D89" s="44">
        <f>LN('DATA FULL'!D89)</f>
        <v>8.3774712482411005</v>
      </c>
      <c r="E89" s="42">
        <f>LN('DATA FULL'!E89)</f>
        <v>26.474068808110047</v>
      </c>
      <c r="F89" s="42">
        <f>LN('DATA FULL'!F89)</f>
        <v>29.774866644114127</v>
      </c>
      <c r="G89" s="13">
        <f>LN('DATA FULL'!G89)</f>
        <v>4.6591051879914689</v>
      </c>
      <c r="H89" s="13">
        <f>LN('DATA FULL'!H89)</f>
        <v>4.6839813664123815</v>
      </c>
      <c r="I89" s="14">
        <f>LN('DATA FULL'!I89)</f>
        <v>-0.71472236484279861</v>
      </c>
      <c r="J89" s="13">
        <v>6.5</v>
      </c>
      <c r="K89" s="15">
        <v>0</v>
      </c>
    </row>
    <row r="90" spans="1:11" x14ac:dyDescent="0.25">
      <c r="A90" s="9" t="s">
        <v>14</v>
      </c>
      <c r="B90" s="1">
        <v>2013</v>
      </c>
      <c r="C90" s="41">
        <f>LN('DATA FULL'!C90)</f>
        <v>24.889178706125943</v>
      </c>
      <c r="D90" s="44">
        <f>LN('DATA FULL'!D90)</f>
        <v>8.3774712482411005</v>
      </c>
      <c r="E90" s="42">
        <f>LN('DATA FULL'!E90)</f>
        <v>26.501773013020074</v>
      </c>
      <c r="F90" s="42">
        <f>LN('DATA FULL'!F90)</f>
        <v>29.889703548170029</v>
      </c>
      <c r="G90" s="13">
        <f>LN('DATA FULL'!G90)</f>
        <v>4.6799362272810985</v>
      </c>
      <c r="H90" s="13">
        <f>LN('DATA FULL'!H90)</f>
        <v>4.7095302013123339</v>
      </c>
      <c r="I90" s="14">
        <f>LN('DATA FULL'!I90)</f>
        <v>-0.67617408034019677</v>
      </c>
      <c r="J90" s="13">
        <v>6</v>
      </c>
      <c r="K90" s="15">
        <v>0</v>
      </c>
    </row>
    <row r="91" spans="1:11" x14ac:dyDescent="0.25">
      <c r="A91" s="9" t="s">
        <v>14</v>
      </c>
      <c r="B91" s="1">
        <v>2014</v>
      </c>
      <c r="C91" s="41">
        <f>LN('DATA FULL'!C91)</f>
        <v>24.874808211594363</v>
      </c>
      <c r="D91" s="44">
        <f>LN('DATA FULL'!D91)</f>
        <v>8.3774712482411005</v>
      </c>
      <c r="E91" s="42">
        <f>LN('DATA FULL'!E91)</f>
        <v>26.546507260937499</v>
      </c>
      <c r="F91" s="42">
        <f>LN('DATA FULL'!F91)</f>
        <v>29.980072240509884</v>
      </c>
      <c r="G91" s="13">
        <f>LN('DATA FULL'!G91)</f>
        <v>4.7108824397788069</v>
      </c>
      <c r="H91" s="13">
        <f>LN('DATA FULL'!H91)</f>
        <v>4.7291561657690826</v>
      </c>
      <c r="I91" s="14">
        <f>LN('DATA FULL'!I91)</f>
        <v>-0.62971974168125011</v>
      </c>
      <c r="J91" s="13">
        <v>6.1</v>
      </c>
      <c r="K91" s="15">
        <v>0</v>
      </c>
    </row>
    <row r="92" spans="1:11" x14ac:dyDescent="0.25">
      <c r="A92" s="9" t="s">
        <v>14</v>
      </c>
      <c r="B92" s="1">
        <v>2015</v>
      </c>
      <c r="C92" s="41">
        <f>LN('DATA FULL'!C92)</f>
        <v>24.80320922257383</v>
      </c>
      <c r="D92" s="44">
        <f>LN('DATA FULL'!D92)</f>
        <v>8.3774712482411005</v>
      </c>
      <c r="E92" s="42">
        <f>LN('DATA FULL'!E92)</f>
        <v>26.431555694622006</v>
      </c>
      <c r="F92" s="42">
        <f>LN('DATA FULL'!F92)</f>
        <v>30.034498291661095</v>
      </c>
      <c r="G92" s="13">
        <f>LN('DATA FULL'!G92)</f>
        <v>4.7317085593497135</v>
      </c>
      <c r="H92" s="13">
        <f>LN('DATA FULL'!H92)</f>
        <v>4.7440621848547098</v>
      </c>
      <c r="I92" s="14">
        <f>LN('DATA FULL'!I92)</f>
        <v>-0.4665872658729967</v>
      </c>
      <c r="J92" s="13">
        <v>6.1</v>
      </c>
      <c r="K92" s="15">
        <v>1</v>
      </c>
    </row>
    <row r="93" spans="1:11" x14ac:dyDescent="0.25">
      <c r="A93" s="9" t="s">
        <v>14</v>
      </c>
      <c r="B93" s="1">
        <v>2016</v>
      </c>
      <c r="C93" s="41">
        <f>LN('DATA FULL'!C93)</f>
        <v>25.205934595347802</v>
      </c>
      <c r="D93" s="44">
        <f>LN('DATA FULL'!D93)</f>
        <v>8.3774712482411005</v>
      </c>
      <c r="E93" s="42">
        <f>LN('DATA FULL'!E93)</f>
        <v>26.431226350995779</v>
      </c>
      <c r="F93" s="42">
        <f>LN('DATA FULL'!F93)</f>
        <v>30.04990491953906</v>
      </c>
      <c r="G93" s="13">
        <f>LN('DATA FULL'!G93)</f>
        <v>4.7462137017602926</v>
      </c>
      <c r="H93" s="13">
        <f>LN('DATA FULL'!H93)</f>
        <v>4.6249728132842707</v>
      </c>
      <c r="I93" s="14">
        <f>LN('DATA FULL'!I93)</f>
        <v>-0.47108733654244139</v>
      </c>
      <c r="J93" s="13">
        <v>5.8</v>
      </c>
      <c r="K93" s="15">
        <v>0</v>
      </c>
    </row>
    <row r="94" spans="1:11" x14ac:dyDescent="0.25">
      <c r="A94" s="9" t="s">
        <v>14</v>
      </c>
      <c r="B94" s="1">
        <v>2017</v>
      </c>
      <c r="C94" s="41">
        <f>LN('DATA FULL'!C94)</f>
        <v>25.294110604940183</v>
      </c>
      <c r="D94" s="44">
        <f>LN('DATA FULL'!D94)</f>
        <v>8.3774712482411005</v>
      </c>
      <c r="E94" s="42">
        <f>LN('DATA FULL'!E94)</f>
        <v>26.488798869230159</v>
      </c>
      <c r="F94" s="42">
        <f>LN('DATA FULL'!F94)</f>
        <v>30.141472968730575</v>
      </c>
      <c r="G94" s="13">
        <f>LN('DATA FULL'!G94)</f>
        <v>4.7841951969937897</v>
      </c>
      <c r="H94" s="13">
        <f>LN('DATA FULL'!H94)</f>
        <v>4.6405373298253823</v>
      </c>
      <c r="I94" s="14">
        <f>LN('DATA FULL'!I94)</f>
        <v>-0.4521211671513865</v>
      </c>
      <c r="J94" s="13">
        <v>5.6</v>
      </c>
      <c r="K94" s="15">
        <v>0</v>
      </c>
    </row>
    <row r="95" spans="1:11" x14ac:dyDescent="0.25">
      <c r="A95" s="9" t="s">
        <v>14</v>
      </c>
      <c r="B95" s="1">
        <v>2018</v>
      </c>
      <c r="C95" s="41">
        <f>LN('DATA FULL'!C95)</f>
        <v>25.420431166162704</v>
      </c>
      <c r="D95" s="44">
        <f>LN('DATA FULL'!D95)</f>
        <v>8.3774712482411005</v>
      </c>
      <c r="E95" s="42">
        <f>LN('DATA FULL'!E95)</f>
        <v>26.605999878890096</v>
      </c>
      <c r="F95" s="42">
        <f>LN('DATA FULL'!F95)</f>
        <v>30.26254354778947</v>
      </c>
      <c r="G95" s="13">
        <f>LN('DATA FULL'!G95)</f>
        <v>4.7930033823873943</v>
      </c>
      <c r="H95" s="13">
        <f>LN('DATA FULL'!H95)</f>
        <v>4.6615505194241988</v>
      </c>
      <c r="I95" s="14">
        <f>LN('DATA FULL'!I95)</f>
        <v>-0.49444593184071034</v>
      </c>
      <c r="J95" s="13">
        <v>5.6</v>
      </c>
      <c r="K95" s="15">
        <v>0</v>
      </c>
    </row>
    <row r="96" spans="1:11" x14ac:dyDescent="0.25">
      <c r="A96" s="9" t="s">
        <v>14</v>
      </c>
      <c r="B96" s="1">
        <v>2019</v>
      </c>
      <c r="C96" s="41">
        <f>LN('DATA FULL'!C96)</f>
        <v>25.544442178587691</v>
      </c>
      <c r="D96" s="44">
        <f>LN('DATA FULL'!D96)</f>
        <v>8.3774712482411005</v>
      </c>
      <c r="E96" s="42">
        <f>LN('DATA FULL'!E96)</f>
        <v>26.623649978936463</v>
      </c>
      <c r="F96" s="42">
        <f>LN('DATA FULL'!F96)</f>
        <v>30.289878867392371</v>
      </c>
      <c r="G96" s="13">
        <f>LN('DATA FULL'!G96)</f>
        <v>4.7996104263807844</v>
      </c>
      <c r="H96" s="13">
        <f>LN('DATA FULL'!H96)</f>
        <v>4.6895113344218426</v>
      </c>
      <c r="I96" s="14">
        <f>LN('DATA FULL'!I96)</f>
        <v>-0.51144372816653139</v>
      </c>
      <c r="J96" s="13">
        <v>5.6</v>
      </c>
      <c r="K96" s="15">
        <v>0</v>
      </c>
    </row>
    <row r="97" spans="1:11" x14ac:dyDescent="0.25">
      <c r="A97" s="9" t="s">
        <v>14</v>
      </c>
      <c r="B97" s="1">
        <v>2020</v>
      </c>
      <c r="C97" s="41">
        <f>LN('DATA FULL'!C97)</f>
        <v>25.603612936076786</v>
      </c>
      <c r="D97" s="44">
        <f>LN('DATA FULL'!D97)</f>
        <v>8.3774712482411005</v>
      </c>
      <c r="E97" s="42">
        <f>LN('DATA FULL'!E97)</f>
        <v>26.54470145426389</v>
      </c>
      <c r="F97" s="42">
        <f>LN('DATA FULL'!F97)</f>
        <v>30.318034531545035</v>
      </c>
      <c r="G97" s="13">
        <f>LN('DATA FULL'!G97)</f>
        <v>4.7881580763066127</v>
      </c>
      <c r="H97" s="13">
        <f>LN('DATA FULL'!H97)</f>
        <v>4.7149210499472103</v>
      </c>
      <c r="I97" s="14">
        <f>LN('DATA FULL'!I97)</f>
        <v>-0.49571938670556021</v>
      </c>
      <c r="J97" s="13">
        <v>5.7</v>
      </c>
      <c r="K97" s="15">
        <v>0</v>
      </c>
    </row>
    <row r="98" spans="1:11" x14ac:dyDescent="0.25">
      <c r="A98" s="9" t="s">
        <v>14</v>
      </c>
      <c r="B98" s="1">
        <v>2021</v>
      </c>
      <c r="C98" s="41">
        <f>LN('DATA FULL'!C98)</f>
        <v>25.899836239941283</v>
      </c>
      <c r="D98" s="44">
        <f>LN('DATA FULL'!D98)</f>
        <v>8.3774712482411005</v>
      </c>
      <c r="E98" s="42">
        <f>LN('DATA FULL'!E98)</f>
        <v>26.646946131017788</v>
      </c>
      <c r="F98" s="42">
        <f>LN('DATA FULL'!F98)</f>
        <v>30.511368323769631</v>
      </c>
      <c r="G98" s="13">
        <f>LN('DATA FULL'!G98)</f>
        <v>4.8126272728649413</v>
      </c>
      <c r="H98" s="13">
        <f>LN('DATA FULL'!H98)</f>
        <v>4.7238417157055901</v>
      </c>
      <c r="I98" s="14">
        <f>LN('DATA FULL'!I98)</f>
        <v>-0.44242923931300643</v>
      </c>
      <c r="J98" s="13">
        <v>5.6</v>
      </c>
      <c r="K98" s="15">
        <v>0</v>
      </c>
    </row>
    <row r="99" spans="1:11" x14ac:dyDescent="0.25">
      <c r="A99" s="9" t="s">
        <v>14</v>
      </c>
      <c r="B99" s="1">
        <v>2022</v>
      </c>
      <c r="C99" s="41">
        <f>LN('DATA FULL'!C99)</f>
        <v>26.046334302803707</v>
      </c>
      <c r="D99" s="44">
        <f>LN('DATA FULL'!D99)</f>
        <v>8.3774712482411005</v>
      </c>
      <c r="E99" s="42">
        <f>LN('DATA FULL'!E99)</f>
        <v>26.733566469272358</v>
      </c>
      <c r="F99" s="42">
        <f>LN('DATA FULL'!F99)</f>
        <v>30.519344748915039</v>
      </c>
      <c r="G99" s="13">
        <f>LN('DATA FULL'!G99)</f>
        <v>4.8458560183037527</v>
      </c>
      <c r="H99" s="13">
        <f>LN('DATA FULL'!H99)</f>
        <v>4.7431914838854663</v>
      </c>
      <c r="I99" s="14">
        <f>LN('DATA FULL'!I99)</f>
        <v>-0.42578913447576694</v>
      </c>
      <c r="J99" s="13">
        <v>5.6</v>
      </c>
      <c r="K99" s="15">
        <v>0</v>
      </c>
    </row>
    <row r="100" spans="1:11" x14ac:dyDescent="0.25">
      <c r="A100" s="9" t="s">
        <v>14</v>
      </c>
      <c r="B100" s="39">
        <v>2023</v>
      </c>
      <c r="C100" s="41">
        <f>LN('DATA FULL'!C100)</f>
        <v>25.984820271452801</v>
      </c>
      <c r="D100" s="44">
        <f>LN('DATA FULL'!D100)</f>
        <v>8.3774712482411005</v>
      </c>
      <c r="E100" s="42">
        <f>LN('DATA FULL'!E100)</f>
        <v>26.713992955806191</v>
      </c>
      <c r="F100" s="42">
        <f>LN('DATA FULL'!F100)</f>
        <v>30.536301007448845</v>
      </c>
      <c r="G100" s="13">
        <f>LN('DATA FULL'!G100)</f>
        <v>4.8704399967132295</v>
      </c>
      <c r="H100" s="13">
        <f>LN('DATA FULL'!H100)</f>
        <v>4.8844672019054318</v>
      </c>
      <c r="I100" s="14">
        <f>LN('DATA FULL'!I100)</f>
        <v>-0.38702369550754318</v>
      </c>
      <c r="J100" s="13">
        <v>5.62</v>
      </c>
      <c r="K100" s="15">
        <v>0</v>
      </c>
    </row>
    <row r="101" spans="1:11" x14ac:dyDescent="0.25">
      <c r="A101" s="9" t="s">
        <v>14</v>
      </c>
      <c r="B101" s="39">
        <v>2024</v>
      </c>
      <c r="C101" s="41">
        <f>LN('DATA FULL'!C101)</f>
        <v>26.079833701014987</v>
      </c>
      <c r="D101" s="44">
        <f>LN('DATA FULL'!D101)</f>
        <v>8.3774712482411005</v>
      </c>
      <c r="E101" s="42">
        <f>LN('DATA FULL'!E101)</f>
        <v>26.768205040393305</v>
      </c>
      <c r="F101" s="42">
        <f>LN('DATA FULL'!F101)</f>
        <v>30.561884316162729</v>
      </c>
      <c r="G101" s="13">
        <f>LN('DATA FULL'!G101)</f>
        <v>4.888614831290063</v>
      </c>
      <c r="H101" s="13">
        <f>LN('DATA FULL'!H101)</f>
        <v>4.8866581142765444</v>
      </c>
      <c r="I101" s="14">
        <f>LN('DATA FULL'!I101)</f>
        <v>-0.35505373309966065</v>
      </c>
      <c r="J101" s="13">
        <v>5.62</v>
      </c>
      <c r="K101" s="15">
        <v>0</v>
      </c>
    </row>
    <row r="102" spans="1:11" x14ac:dyDescent="0.25">
      <c r="A102" s="9" t="s">
        <v>15</v>
      </c>
      <c r="B102" s="1">
        <v>2005</v>
      </c>
      <c r="C102" s="41">
        <f>LN('DATA FULL'!C102)</f>
        <v>20.131703230942954</v>
      </c>
      <c r="D102" s="44">
        <f>LN('DATA FULL'!D102)</f>
        <v>7.9919305198524775</v>
      </c>
      <c r="E102" s="42">
        <f>LN('DATA FULL'!E102)</f>
        <v>23.207086265218557</v>
      </c>
      <c r="F102" s="42">
        <f>LN('DATA FULL'!F102)</f>
        <v>28.457807686364216</v>
      </c>
      <c r="G102" s="13">
        <f>LN('DATA FULL'!G102)</f>
        <v>3.7961877645605862</v>
      </c>
      <c r="H102" s="13">
        <f>LN('DATA FULL'!H102)</f>
        <v>4.4602521267032484</v>
      </c>
      <c r="I102" s="14">
        <f>LN('DATA FULL'!I102)</f>
        <v>-0.34245561814482278</v>
      </c>
      <c r="J102" s="13">
        <v>5.6</v>
      </c>
      <c r="K102" s="15">
        <v>0</v>
      </c>
    </row>
    <row r="103" spans="1:11" x14ac:dyDescent="0.25">
      <c r="A103" s="9" t="s">
        <v>15</v>
      </c>
      <c r="B103" s="1">
        <v>2006</v>
      </c>
      <c r="C103" s="41">
        <f>LN('DATA FULL'!C103)</f>
        <v>20.273866919515559</v>
      </c>
      <c r="D103" s="44">
        <f>LN('DATA FULL'!D103)</f>
        <v>7.9919305198524775</v>
      </c>
      <c r="E103" s="42">
        <f>LN('DATA FULL'!E103)</f>
        <v>23.397590588785331</v>
      </c>
      <c r="F103" s="42">
        <f>LN('DATA FULL'!F103)</f>
        <v>28.643392151793126</v>
      </c>
      <c r="G103" s="13">
        <f>LN('DATA FULL'!G103)</f>
        <v>3.978480048725447</v>
      </c>
      <c r="H103" s="13">
        <f>LN('DATA FULL'!H103)</f>
        <v>4.4766119038078989</v>
      </c>
      <c r="I103" s="14">
        <f>LN('DATA FULL'!I103)</f>
        <v>-0.31088142915175015</v>
      </c>
      <c r="J103" s="13">
        <v>5.6</v>
      </c>
      <c r="K103" s="15">
        <v>0</v>
      </c>
    </row>
    <row r="104" spans="1:11" x14ac:dyDescent="0.25">
      <c r="A104" s="9" t="s">
        <v>15</v>
      </c>
      <c r="B104" s="1">
        <v>2007</v>
      </c>
      <c r="C104" s="41">
        <f>LN('DATA FULL'!C104)</f>
        <v>20.578151226268037</v>
      </c>
      <c r="D104" s="44">
        <f>LN('DATA FULL'!D104)</f>
        <v>7.9919305198524775</v>
      </c>
      <c r="E104" s="42">
        <f>LN('DATA FULL'!E104)</f>
        <v>23.728080613441975</v>
      </c>
      <c r="F104" s="42">
        <f>LN('DATA FULL'!F104)</f>
        <v>28.898061054033093</v>
      </c>
      <c r="G104" s="13">
        <f>LN('DATA FULL'!G104)</f>
        <v>4.2787668251109121</v>
      </c>
      <c r="H104" s="13">
        <f>LN('DATA FULL'!H104)</f>
        <v>4.5236554512770768</v>
      </c>
      <c r="I104" s="14">
        <f>LN('DATA FULL'!I104)</f>
        <v>-0.30336193183180477</v>
      </c>
      <c r="J104" s="13">
        <v>5.6</v>
      </c>
      <c r="K104" s="15">
        <v>0</v>
      </c>
    </row>
    <row r="105" spans="1:11" x14ac:dyDescent="0.25">
      <c r="A105" s="9" t="s">
        <v>15</v>
      </c>
      <c r="B105" s="1">
        <v>2008</v>
      </c>
      <c r="C105" s="41">
        <f>LN('DATA FULL'!C105)</f>
        <v>20.7499970229163</v>
      </c>
      <c r="D105" s="44">
        <f>LN('DATA FULL'!D105)</f>
        <v>7.9919305198524775</v>
      </c>
      <c r="E105" s="42">
        <f>LN('DATA FULL'!E105)</f>
        <v>24.184697304628774</v>
      </c>
      <c r="F105" s="42">
        <f>LN('DATA FULL'!F105)</f>
        <v>29.155845527423971</v>
      </c>
      <c r="G105" s="13">
        <f>LN('DATA FULL'!G105)</f>
        <v>4.5162040312249809</v>
      </c>
      <c r="H105" s="13">
        <f>LN('DATA FULL'!H105)</f>
        <v>4.5812189718880054</v>
      </c>
      <c r="I105" s="14">
        <f>LN('DATA FULL'!I105)</f>
        <v>-0.24450254619950471</v>
      </c>
      <c r="J105" s="13">
        <v>5.6</v>
      </c>
      <c r="K105" s="15">
        <v>0</v>
      </c>
    </row>
    <row r="106" spans="1:11" x14ac:dyDescent="0.25">
      <c r="A106" s="9" t="s">
        <v>15</v>
      </c>
      <c r="B106" s="1">
        <v>2009</v>
      </c>
      <c r="C106" s="41">
        <f>LN('DATA FULL'!C106)</f>
        <v>20.587889176003873</v>
      </c>
      <c r="D106" s="44">
        <f>LN('DATA FULL'!D106)</f>
        <v>7.9919305198524775</v>
      </c>
      <c r="E106" s="42">
        <f>LN('DATA FULL'!E106)</f>
        <v>24.331644891058666</v>
      </c>
      <c r="F106" s="42">
        <f>LN('DATA FULL'!F106)</f>
        <v>29.260593193705468</v>
      </c>
      <c r="G106" s="13">
        <f>LN('DATA FULL'!G106)</f>
        <v>4.5308201249519833</v>
      </c>
      <c r="H106" s="13">
        <f>LN('DATA FULL'!H106)</f>
        <v>4.5739106174644144</v>
      </c>
      <c r="I106" s="14">
        <f>LN('DATA FULL'!I106)</f>
        <v>-0.20299455100393698</v>
      </c>
      <c r="J106" s="13">
        <v>5.6</v>
      </c>
      <c r="K106" s="15">
        <v>0</v>
      </c>
    </row>
    <row r="107" spans="1:11" x14ac:dyDescent="0.25">
      <c r="A107" s="9" t="s">
        <v>15</v>
      </c>
      <c r="B107" s="1">
        <v>2010</v>
      </c>
      <c r="C107" s="41">
        <f>LN('DATA FULL'!C107)</f>
        <v>20.925662129436532</v>
      </c>
      <c r="D107" s="44">
        <f>LN('DATA FULL'!D107)</f>
        <v>7.9919305198524775</v>
      </c>
      <c r="E107" s="42">
        <f>LN('DATA FULL'!E107)</f>
        <v>24.626062678767148</v>
      </c>
      <c r="F107" s="42">
        <f>LN('DATA FULL'!F107)</f>
        <v>29.43720796596909</v>
      </c>
      <c r="G107" s="13">
        <f>LN('DATA FULL'!G107)</f>
        <v>4.6051701859880918</v>
      </c>
      <c r="H107" s="13">
        <f>LN('DATA FULL'!H107)</f>
        <v>4.6051701859880918</v>
      </c>
      <c r="I107" s="14">
        <f>LN('DATA FULL'!I107)</f>
        <v>-0.18356438115869048</v>
      </c>
      <c r="J107" s="13">
        <v>5.6</v>
      </c>
      <c r="K107" s="15">
        <v>0</v>
      </c>
    </row>
    <row r="108" spans="1:11" x14ac:dyDescent="0.25">
      <c r="A108" s="9" t="s">
        <v>15</v>
      </c>
      <c r="B108" s="1">
        <v>2011</v>
      </c>
      <c r="C108" s="41">
        <f>LN('DATA FULL'!C108)</f>
        <v>22.063237550572083</v>
      </c>
      <c r="D108" s="44">
        <f>LN('DATA FULL'!D108)</f>
        <v>7.9919305198524775</v>
      </c>
      <c r="E108" s="42">
        <f>LN('DATA FULL'!E108)</f>
        <v>24.817232429180034</v>
      </c>
      <c r="F108" s="42">
        <f>LN('DATA FULL'!F108)</f>
        <v>29.652773387178172</v>
      </c>
      <c r="G108" s="13">
        <f>LN('DATA FULL'!G108)</f>
        <v>4.654164711619126</v>
      </c>
      <c r="H108" s="13">
        <f>LN('DATA FULL'!H108)</f>
        <v>4.6577626361072619</v>
      </c>
      <c r="I108" s="14">
        <f>LN('DATA FULL'!I108)</f>
        <v>-0.17132151958405417</v>
      </c>
      <c r="J108" s="13">
        <v>5.6</v>
      </c>
      <c r="K108" s="15">
        <v>0</v>
      </c>
    </row>
    <row r="109" spans="1:11" x14ac:dyDescent="0.25">
      <c r="A109" s="9" t="s">
        <v>15</v>
      </c>
      <c r="B109" s="1">
        <v>2012</v>
      </c>
      <c r="C109" s="41">
        <f>LN('DATA FULL'!C109)</f>
        <v>22.078972355246567</v>
      </c>
      <c r="D109" s="44">
        <f>LN('DATA FULL'!D109)</f>
        <v>7.9919305198524775</v>
      </c>
      <c r="E109" s="42">
        <f>LN('DATA FULL'!E109)</f>
        <v>24.816573138870261</v>
      </c>
      <c r="F109" s="42">
        <f>LN('DATA FULL'!F109)</f>
        <v>29.774866644114127</v>
      </c>
      <c r="G109" s="13">
        <f>LN('DATA FULL'!G109)</f>
        <v>4.6687338960247766</v>
      </c>
      <c r="H109" s="13">
        <f>LN('DATA FULL'!H109)</f>
        <v>4.6839813664123815</v>
      </c>
      <c r="I109" s="14">
        <f>LN('DATA FULL'!I109)</f>
        <v>4.619983307693948</v>
      </c>
      <c r="J109" s="13">
        <v>5.6</v>
      </c>
      <c r="K109" s="15">
        <v>0</v>
      </c>
    </row>
    <row r="110" spans="1:11" x14ac:dyDescent="0.25">
      <c r="A110" s="9" t="s">
        <v>15</v>
      </c>
      <c r="B110" s="1">
        <v>2013</v>
      </c>
      <c r="C110" s="41">
        <f>LN('DATA FULL'!C110)</f>
        <v>22.627696959611868</v>
      </c>
      <c r="D110" s="44">
        <f>LN('DATA FULL'!D110)</f>
        <v>7.9919305198524775</v>
      </c>
      <c r="E110" s="42">
        <f>LN('DATA FULL'!E110)</f>
        <v>24.822095871958123</v>
      </c>
      <c r="F110" s="42">
        <f>LN('DATA FULL'!F110)</f>
        <v>29.889703548170029</v>
      </c>
      <c r="G110" s="13">
        <f>LN('DATA FULL'!G110)</f>
        <v>4.723629562995229</v>
      </c>
      <c r="H110" s="13">
        <f>LN('DATA FULL'!H110)</f>
        <v>4.7095302013123339</v>
      </c>
      <c r="I110" s="14">
        <f>LN('DATA FULL'!I110)</f>
        <v>5.0151515154163251</v>
      </c>
      <c r="J110" s="13">
        <v>5.6</v>
      </c>
      <c r="K110" s="15">
        <v>0</v>
      </c>
    </row>
    <row r="111" spans="1:11" x14ac:dyDescent="0.25">
      <c r="A111" s="9" t="s">
        <v>15</v>
      </c>
      <c r="B111" s="1">
        <v>2014</v>
      </c>
      <c r="C111" s="41">
        <f>LN('DATA FULL'!C111)</f>
        <v>22.971996337068717</v>
      </c>
      <c r="D111" s="44">
        <f>LN('DATA FULL'!D111)</f>
        <v>7.9919305198524775</v>
      </c>
      <c r="E111" s="42">
        <f>LN('DATA FULL'!E111)</f>
        <v>24.905794860320686</v>
      </c>
      <c r="F111" s="42">
        <f>LN('DATA FULL'!F111)</f>
        <v>29.980072240509884</v>
      </c>
      <c r="G111" s="13">
        <f>LN('DATA FULL'!G111)</f>
        <v>4.7719748585571349</v>
      </c>
      <c r="H111" s="13">
        <f>LN('DATA FULL'!H111)</f>
        <v>4.7291561657690826</v>
      </c>
      <c r="I111" s="14">
        <f>LN('DATA FULL'!I111)</f>
        <v>5.0765933202215603</v>
      </c>
      <c r="J111" s="13">
        <v>5.6</v>
      </c>
      <c r="K111" s="15">
        <v>0</v>
      </c>
    </row>
    <row r="112" spans="1:11" x14ac:dyDescent="0.25">
      <c r="A112" s="9" t="s">
        <v>15</v>
      </c>
      <c r="B112" s="1">
        <v>2015</v>
      </c>
      <c r="C112" s="41">
        <f>LN('DATA FULL'!C112)</f>
        <v>23.11628507911481</v>
      </c>
      <c r="D112" s="44">
        <f>LN('DATA FULL'!D112)</f>
        <v>7.9919305198524775</v>
      </c>
      <c r="E112" s="42">
        <f>LN('DATA FULL'!E112)</f>
        <v>24.811043725812443</v>
      </c>
      <c r="F112" s="42">
        <f>LN('DATA FULL'!F112)</f>
        <v>30.034498291661095</v>
      </c>
      <c r="G112" s="13">
        <f>LN('DATA FULL'!G112)</f>
        <v>4.8623106127165583</v>
      </c>
      <c r="H112" s="13">
        <f>LN('DATA FULL'!H112)</f>
        <v>4.7440621848547098</v>
      </c>
      <c r="I112" s="14">
        <f>LN('DATA FULL'!I112)</f>
        <v>5.2294541906784273</v>
      </c>
      <c r="J112" s="13">
        <v>5.6</v>
      </c>
      <c r="K112" s="15">
        <v>0</v>
      </c>
    </row>
    <row r="113" spans="1:11" x14ac:dyDescent="0.25">
      <c r="A113" s="9" t="s">
        <v>15</v>
      </c>
      <c r="B113" s="1">
        <v>2016</v>
      </c>
      <c r="C113" s="41">
        <f>LN('DATA FULL'!C113)</f>
        <v>23.234660062860595</v>
      </c>
      <c r="D113" s="44">
        <f>LN('DATA FULL'!D113)</f>
        <v>7.9919305198524775</v>
      </c>
      <c r="E113" s="42">
        <f>LN('DATA FULL'!E113)</f>
        <v>24.871125288924688</v>
      </c>
      <c r="F113" s="42">
        <f>LN('DATA FULL'!F113)</f>
        <v>30.04990491953906</v>
      </c>
      <c r="G113" s="13">
        <f>LN('DATA FULL'!G113)</f>
        <v>4.9293038553538393</v>
      </c>
      <c r="H113" s="13">
        <f>LN('DATA FULL'!H113)</f>
        <v>4.6249728132842707</v>
      </c>
      <c r="I113" s="14">
        <f>LN('DATA FULL'!I113)</f>
        <v>5.2249344808529283</v>
      </c>
      <c r="J113" s="13">
        <v>5.6</v>
      </c>
      <c r="K113" s="15">
        <v>0</v>
      </c>
    </row>
    <row r="114" spans="1:11" x14ac:dyDescent="0.25">
      <c r="A114" s="9" t="s">
        <v>15</v>
      </c>
      <c r="B114" s="1">
        <v>2017</v>
      </c>
      <c r="C114" s="41">
        <f>LN('DATA FULL'!C114)</f>
        <v>23.3269239420618</v>
      </c>
      <c r="D114" s="44">
        <f>LN('DATA FULL'!D114)</f>
        <v>7.9919305198524775</v>
      </c>
      <c r="E114" s="42">
        <f>LN('DATA FULL'!E114)</f>
        <v>24.913723899906</v>
      </c>
      <c r="F114" s="42">
        <f>LN('DATA FULL'!F114)</f>
        <v>30.141472968730575</v>
      </c>
      <c r="G114" s="13">
        <f>LN('DATA FULL'!G114)</f>
        <v>4.9740146296694752</v>
      </c>
      <c r="H114" s="13">
        <f>LN('DATA FULL'!H114)</f>
        <v>4.6405373298253823</v>
      </c>
      <c r="I114" s="14">
        <f>LN('DATA FULL'!I114)</f>
        <v>5.3046649848603611</v>
      </c>
      <c r="J114" s="13">
        <v>6.5</v>
      </c>
      <c r="K114" s="15">
        <v>0</v>
      </c>
    </row>
    <row r="115" spans="1:11" x14ac:dyDescent="0.25">
      <c r="A115" s="9" t="s">
        <v>15</v>
      </c>
      <c r="B115" s="1">
        <v>2018</v>
      </c>
      <c r="C115" s="41">
        <f>LN('DATA FULL'!C115)</f>
        <v>23.457431377789895</v>
      </c>
      <c r="D115" s="44">
        <f>LN('DATA FULL'!D115)</f>
        <v>7.9919305198524775</v>
      </c>
      <c r="E115" s="42">
        <f>LN('DATA FULL'!E115)</f>
        <v>24.940720200009469</v>
      </c>
      <c r="F115" s="42">
        <f>LN('DATA FULL'!F115)</f>
        <v>30.26254354778947</v>
      </c>
      <c r="G115" s="13">
        <f>LN('DATA FULL'!G115)</f>
        <v>5.0404793756002357</v>
      </c>
      <c r="H115" s="13">
        <f>LN('DATA FULL'!H115)</f>
        <v>4.6615505194241988</v>
      </c>
      <c r="I115" s="14">
        <f>LN('DATA FULL'!I115)</f>
        <v>5.375810946049091</v>
      </c>
      <c r="J115" s="13">
        <v>6.5</v>
      </c>
      <c r="K115" s="15">
        <v>0</v>
      </c>
    </row>
    <row r="116" spans="1:11" x14ac:dyDescent="0.25">
      <c r="A116" s="9" t="s">
        <v>15</v>
      </c>
      <c r="B116" s="1">
        <v>2019</v>
      </c>
      <c r="C116" s="41">
        <f>LN('DATA FULL'!C116)</f>
        <v>23.652447967353975</v>
      </c>
      <c r="D116" s="44">
        <f>LN('DATA FULL'!D116)</f>
        <v>7.9919305198524775</v>
      </c>
      <c r="E116" s="42">
        <f>LN('DATA FULL'!E116)</f>
        <v>25.041621656952412</v>
      </c>
      <c r="F116" s="42">
        <f>LN('DATA FULL'!F116)</f>
        <v>30.289878867392371</v>
      </c>
      <c r="G116" s="13">
        <f>LN('DATA FULL'!G116)</f>
        <v>5.1250508924240377</v>
      </c>
      <c r="H116" s="13">
        <f>LN('DATA FULL'!H116)</f>
        <v>4.6895113344218426</v>
      </c>
      <c r="I116" s="14">
        <f>LN('DATA FULL'!I116)</f>
        <v>5.392581112227405</v>
      </c>
      <c r="J116" s="13">
        <v>6.5</v>
      </c>
      <c r="K116" s="15">
        <v>0</v>
      </c>
    </row>
    <row r="117" spans="1:11" x14ac:dyDescent="0.25">
      <c r="A117" s="9" t="s">
        <v>15</v>
      </c>
      <c r="B117" s="1">
        <v>2020</v>
      </c>
      <c r="C117" s="41">
        <f>LN('DATA FULL'!C117)</f>
        <v>23.662606050101335</v>
      </c>
      <c r="D117" s="44">
        <f>LN('DATA FULL'!D117)</f>
        <v>7.9919305198524775</v>
      </c>
      <c r="E117" s="42">
        <f>LN('DATA FULL'!E117)</f>
        <v>25.092791074307634</v>
      </c>
      <c r="F117" s="42">
        <f>LN('DATA FULL'!F117)</f>
        <v>30.318034531545035</v>
      </c>
      <c r="G117" s="13">
        <f>LN('DATA FULL'!G117)</f>
        <v>5.1250508924240377</v>
      </c>
      <c r="H117" s="13">
        <f>LN('DATA FULL'!H117)</f>
        <v>4.7149210499472103</v>
      </c>
      <c r="I117" s="14">
        <f>LN('DATA FULL'!I117)</f>
        <v>5.2993787956487166</v>
      </c>
      <c r="J117" s="13">
        <v>6.5</v>
      </c>
      <c r="K117" s="15">
        <v>0</v>
      </c>
    </row>
    <row r="118" spans="1:11" x14ac:dyDescent="0.25">
      <c r="A118" s="9" t="s">
        <v>15</v>
      </c>
      <c r="B118" s="1">
        <v>2021</v>
      </c>
      <c r="C118" s="41">
        <f>LN('DATA FULL'!C118)</f>
        <v>23.647319976528195</v>
      </c>
      <c r="D118" s="44">
        <f>LN('DATA FULL'!D118)</f>
        <v>7.9919305198524775</v>
      </c>
      <c r="E118" s="42">
        <f>LN('DATA FULL'!E118)</f>
        <v>24.918138625502589</v>
      </c>
      <c r="F118" s="42">
        <f>LN('DATA FULL'!F118)</f>
        <v>30.511368323769631</v>
      </c>
      <c r="G118" s="13">
        <f>LN('DATA FULL'!G118)</f>
        <v>5.1250508924240377</v>
      </c>
      <c r="H118" s="13">
        <f>LN('DATA FULL'!H118)</f>
        <v>4.7238417157055901</v>
      </c>
      <c r="I118" s="14">
        <f>LN('DATA FULL'!I118)</f>
        <v>5.367090168140912</v>
      </c>
      <c r="J118" s="13">
        <v>6.5</v>
      </c>
      <c r="K118" s="15">
        <v>0</v>
      </c>
    </row>
    <row r="119" spans="1:11" x14ac:dyDescent="0.25">
      <c r="A119" s="9" t="s">
        <v>15</v>
      </c>
      <c r="B119" s="1">
        <v>2022</v>
      </c>
      <c r="C119" s="41">
        <f>LN('DATA FULL'!C119)</f>
        <v>23.947892965952867</v>
      </c>
      <c r="D119" s="44">
        <f>LN('DATA FULL'!D119)</f>
        <v>7.9919305198524775</v>
      </c>
      <c r="E119" s="42">
        <f>LN('DATA FULL'!E119)</f>
        <v>24.854473365334343</v>
      </c>
      <c r="F119" s="42">
        <f>LN('DATA FULL'!F119)</f>
        <v>30.519344748915039</v>
      </c>
      <c r="G119" s="13">
        <f>LN('DATA FULL'!G119)</f>
        <v>5.1250508924240377</v>
      </c>
      <c r="H119" s="13">
        <f>LN('DATA FULL'!H119)</f>
        <v>4.7431914838854663</v>
      </c>
      <c r="I119" s="14">
        <f>LN('DATA FULL'!I119)</f>
        <v>5.3233732085825824</v>
      </c>
      <c r="J119" s="13">
        <v>6.5</v>
      </c>
      <c r="K119" s="15">
        <v>0</v>
      </c>
    </row>
    <row r="120" spans="1:11" x14ac:dyDescent="0.25">
      <c r="A120" s="9" t="s">
        <v>15</v>
      </c>
      <c r="B120" s="39">
        <v>2023</v>
      </c>
      <c r="C120" s="41">
        <f>LN('DATA FULL'!C120)</f>
        <v>23.776678415525897</v>
      </c>
      <c r="D120" s="44">
        <f>LN('DATA FULL'!D120)</f>
        <v>7.9919305198524775</v>
      </c>
      <c r="E120" s="42">
        <f>LN('DATA FULL'!E120)</f>
        <v>24.924334270035128</v>
      </c>
      <c r="F120" s="42">
        <f>LN('DATA FULL'!F120)</f>
        <v>30.536301007448845</v>
      </c>
      <c r="G120" s="13">
        <f>LN('DATA FULL'!G120)</f>
        <v>5.1250508924240377</v>
      </c>
      <c r="H120" s="13">
        <f>LN('DATA FULL'!H120)</f>
        <v>4.8844672019054318</v>
      </c>
      <c r="I120" s="14">
        <f>LN('DATA FULL'!I120)</f>
        <v>5.3536127809191081</v>
      </c>
      <c r="J120" s="13">
        <v>6.5</v>
      </c>
      <c r="K120" s="15">
        <v>0</v>
      </c>
    </row>
    <row r="121" spans="1:11" x14ac:dyDescent="0.25">
      <c r="A121" s="9" t="s">
        <v>15</v>
      </c>
      <c r="B121" s="39">
        <v>2024</v>
      </c>
      <c r="C121" s="41">
        <f>LN('DATA FULL'!C121)</f>
        <v>23.515134622763849</v>
      </c>
      <c r="D121" s="44">
        <f>LN('DATA FULL'!D121)</f>
        <v>7.9919305198524775</v>
      </c>
      <c r="E121" s="42">
        <f>LN('DATA FULL'!E121)</f>
        <v>25.028408358332928</v>
      </c>
      <c r="F121" s="42">
        <f>LN('DATA FULL'!F121)</f>
        <v>30.561884316162729</v>
      </c>
      <c r="G121" s="13">
        <f>LN('DATA FULL'!G121)</f>
        <v>5.1250508924240377</v>
      </c>
      <c r="H121" s="13">
        <f>LN('DATA FULL'!H121)</f>
        <v>4.8866581142765444</v>
      </c>
      <c r="I121" s="14">
        <f>LN('DATA FULL'!I121)</f>
        <v>5.3650484547446071</v>
      </c>
      <c r="J121" s="13">
        <v>6.5</v>
      </c>
      <c r="K121" s="15">
        <v>0</v>
      </c>
    </row>
    <row r="122" spans="1:11" x14ac:dyDescent="0.25">
      <c r="A122" s="17" t="s">
        <v>16</v>
      </c>
      <c r="B122" s="1">
        <v>2005</v>
      </c>
      <c r="C122" s="41">
        <f>LN('DATA FULL'!C122)</f>
        <v>22.676190959865785</v>
      </c>
      <c r="D122" s="44">
        <f>LN('DATA FULL'!D122)</f>
        <v>7.9564767980367819</v>
      </c>
      <c r="E122" s="42">
        <f>LN('DATA FULL'!E122)</f>
        <v>25.400012010272761</v>
      </c>
      <c r="F122" s="42">
        <f>LN('DATA FULL'!F122)</f>
        <v>28.457807686364216</v>
      </c>
      <c r="G122" s="13">
        <f>LN('DATA FULL'!G122)</f>
        <v>4.3823487078027625</v>
      </c>
      <c r="H122" s="13">
        <f>LN('DATA FULL'!H122)</f>
        <v>4.4602521267032484</v>
      </c>
      <c r="I122" s="14">
        <f>LN('DATA FULL'!I122)</f>
        <v>1.9054455478108354</v>
      </c>
      <c r="J122" s="13">
        <v>6.3</v>
      </c>
      <c r="K122" s="15">
        <v>0</v>
      </c>
    </row>
    <row r="123" spans="1:11" x14ac:dyDescent="0.25">
      <c r="A123" s="17" t="s">
        <v>16</v>
      </c>
      <c r="B123" s="1">
        <v>2006</v>
      </c>
      <c r="C123" s="41">
        <f>LN('DATA FULL'!C123)</f>
        <v>22.838248632667447</v>
      </c>
      <c r="D123" s="44">
        <f>LN('DATA FULL'!D123)</f>
        <v>7.9564767980367819</v>
      </c>
      <c r="E123" s="42">
        <f>LN('DATA FULL'!E123)</f>
        <v>25.572580905307042</v>
      </c>
      <c r="F123" s="42">
        <f>LN('DATA FULL'!F123)</f>
        <v>28.643392151793126</v>
      </c>
      <c r="G123" s="13">
        <f>LN('DATA FULL'!G123)</f>
        <v>4.4353984299810394</v>
      </c>
      <c r="H123" s="13">
        <f>LN('DATA FULL'!H123)</f>
        <v>4.4766119038078989</v>
      </c>
      <c r="I123" s="14">
        <f>LN('DATA FULL'!I123)</f>
        <v>1.8618531206320614</v>
      </c>
      <c r="J123" s="13">
        <v>6.3</v>
      </c>
      <c r="K123" s="15">
        <v>0</v>
      </c>
    </row>
    <row r="124" spans="1:11" x14ac:dyDescent="0.25">
      <c r="A124" s="17" t="s">
        <v>16</v>
      </c>
      <c r="B124" s="1">
        <v>2007</v>
      </c>
      <c r="C124" s="41">
        <f>LN('DATA FULL'!C124)</f>
        <v>23.000645808940085</v>
      </c>
      <c r="D124" s="44">
        <f>LN('DATA FULL'!D124)</f>
        <v>7.9564767980367819</v>
      </c>
      <c r="E124" s="42">
        <f>LN('DATA FULL'!E124)</f>
        <v>25.772996250882535</v>
      </c>
      <c r="F124" s="42">
        <f>LN('DATA FULL'!F124)</f>
        <v>28.898061054033093</v>
      </c>
      <c r="G124" s="13">
        <f>LN('DATA FULL'!G124)</f>
        <v>4.4641241144719128</v>
      </c>
      <c r="H124" s="13">
        <f>LN('DATA FULL'!H124)</f>
        <v>4.5236554512770768</v>
      </c>
      <c r="I124" s="14">
        <f>LN('DATA FULL'!I124)</f>
        <v>1.8027232247420537</v>
      </c>
      <c r="J124" s="13">
        <v>6.3</v>
      </c>
      <c r="K124" s="15">
        <v>0</v>
      </c>
    </row>
    <row r="125" spans="1:11" x14ac:dyDescent="0.25">
      <c r="A125" s="17" t="s">
        <v>16</v>
      </c>
      <c r="B125" s="1">
        <v>2008</v>
      </c>
      <c r="C125" s="41">
        <f>LN('DATA FULL'!C125)</f>
        <v>23.028873665867643</v>
      </c>
      <c r="D125" s="44">
        <f>LN('DATA FULL'!D125)</f>
        <v>7.9564767980367819</v>
      </c>
      <c r="E125" s="42">
        <f>LN('DATA FULL'!E125)</f>
        <v>25.925207901449255</v>
      </c>
      <c r="F125" s="42">
        <f>LN('DATA FULL'!F125)</f>
        <v>29.155845527423971</v>
      </c>
      <c r="G125" s="13">
        <f>LN('DATA FULL'!G125)</f>
        <v>4.5430343228214713</v>
      </c>
      <c r="H125" s="13">
        <f>LN('DATA FULL'!H125)</f>
        <v>4.5812189718880054</v>
      </c>
      <c r="I125" s="14">
        <f>LN('DATA FULL'!I125)</f>
        <v>1.852962102931933</v>
      </c>
      <c r="J125" s="13">
        <v>6.3</v>
      </c>
      <c r="K125" s="15">
        <v>0</v>
      </c>
    </row>
    <row r="126" spans="1:11" x14ac:dyDescent="0.25">
      <c r="A126" s="17" t="s">
        <v>16</v>
      </c>
      <c r="B126" s="1">
        <v>2009</v>
      </c>
      <c r="C126" s="41">
        <f>LN('DATA FULL'!C126)</f>
        <v>22.675847306885981</v>
      </c>
      <c r="D126" s="44">
        <f>LN('DATA FULL'!D126)</f>
        <v>7.9564767980367819</v>
      </c>
      <c r="E126" s="42">
        <f>LN('DATA FULL'!E126)</f>
        <v>25.893606389204937</v>
      </c>
      <c r="F126" s="42">
        <f>LN('DATA FULL'!F126)</f>
        <v>29.260593193705468</v>
      </c>
      <c r="G126" s="13">
        <f>LN('DATA FULL'!G126)</f>
        <v>4.584555352942103</v>
      </c>
      <c r="H126" s="13">
        <f>LN('DATA FULL'!H126)</f>
        <v>4.5739106174644144</v>
      </c>
      <c r="I126" s="14">
        <f>LN('DATA FULL'!I126)</f>
        <v>1.9429735083062158</v>
      </c>
      <c r="J126" s="13">
        <v>6.3</v>
      </c>
      <c r="K126" s="15">
        <v>0</v>
      </c>
    </row>
    <row r="127" spans="1:11" x14ac:dyDescent="0.25">
      <c r="A127" s="17" t="s">
        <v>16</v>
      </c>
      <c r="B127" s="1">
        <v>2010</v>
      </c>
      <c r="C127" s="41">
        <f>LN('DATA FULL'!C127)</f>
        <v>23.10014355011711</v>
      </c>
      <c r="D127" s="44">
        <f>LN('DATA FULL'!D127)</f>
        <v>7.9564767980367819</v>
      </c>
      <c r="E127" s="42">
        <f>LN('DATA FULL'!E127)</f>
        <v>26.062575870574804</v>
      </c>
      <c r="F127" s="42">
        <f>LN('DATA FULL'!F127)</f>
        <v>29.43720796596909</v>
      </c>
      <c r="G127" s="13">
        <f>LN('DATA FULL'!G127)</f>
        <v>4.6212561109737358</v>
      </c>
      <c r="H127" s="13">
        <f>LN('DATA FULL'!H127)</f>
        <v>4.6051701859880918</v>
      </c>
      <c r="I127" s="14">
        <f>LN('DATA FULL'!I127)</f>
        <v>1.8965556824292977</v>
      </c>
      <c r="J127" s="13">
        <v>6.3</v>
      </c>
      <c r="K127" s="15">
        <v>0</v>
      </c>
    </row>
    <row r="128" spans="1:11" x14ac:dyDescent="0.25">
      <c r="A128" s="17" t="s">
        <v>16</v>
      </c>
      <c r="B128" s="1">
        <v>2011</v>
      </c>
      <c r="C128" s="41">
        <f>LN('DATA FULL'!C128)</f>
        <v>23.27016230495191</v>
      </c>
      <c r="D128" s="44">
        <f>LN('DATA FULL'!D128)</f>
        <v>7.9564767980367819</v>
      </c>
      <c r="E128" s="42">
        <f>LN('DATA FULL'!E128)</f>
        <v>26.179512721473721</v>
      </c>
      <c r="F128" s="42">
        <f>LN('DATA FULL'!F128)</f>
        <v>29.652773387178172</v>
      </c>
      <c r="G128" s="13">
        <f>LN('DATA FULL'!G128)</f>
        <v>4.6676124490110809</v>
      </c>
      <c r="H128" s="13">
        <f>LN('DATA FULL'!H128)</f>
        <v>4.6577626361072619</v>
      </c>
      <c r="I128" s="14">
        <f>LN('DATA FULL'!I128)</f>
        <v>1.9026004783982946</v>
      </c>
      <c r="J128" s="13">
        <v>6.1</v>
      </c>
      <c r="K128" s="15">
        <v>1</v>
      </c>
    </row>
    <row r="129" spans="1:11" x14ac:dyDescent="0.25">
      <c r="A129" s="17" t="s">
        <v>16</v>
      </c>
      <c r="B129" s="1">
        <v>2012</v>
      </c>
      <c r="C129" s="41">
        <f>LN('DATA FULL'!C129)</f>
        <v>23.325108856737231</v>
      </c>
      <c r="D129" s="44">
        <f>LN('DATA FULL'!D129)</f>
        <v>7.9564767980367819</v>
      </c>
      <c r="E129" s="42">
        <f>LN('DATA FULL'!E129)</f>
        <v>26.291307015940614</v>
      </c>
      <c r="F129" s="42">
        <f>LN('DATA FULL'!F129)</f>
        <v>29.774866644114127</v>
      </c>
      <c r="G129" s="13">
        <f>LN('DATA FULL'!G129)</f>
        <v>4.6987024225512561</v>
      </c>
      <c r="H129" s="13">
        <f>LN('DATA FULL'!H129)</f>
        <v>4.6839813664123815</v>
      </c>
      <c r="I129" s="14">
        <f>LN('DATA FULL'!I129)</f>
        <v>1.9005970166709762</v>
      </c>
      <c r="J129" s="13">
        <v>6.2</v>
      </c>
      <c r="K129" s="15">
        <v>2</v>
      </c>
    </row>
    <row r="130" spans="1:11" x14ac:dyDescent="0.25">
      <c r="A130" s="17" t="s">
        <v>16</v>
      </c>
      <c r="B130" s="1">
        <v>2013</v>
      </c>
      <c r="C130" s="41">
        <f>LN('DATA FULL'!C130)</f>
        <v>23.458871100486764</v>
      </c>
      <c r="D130" s="44">
        <f>LN('DATA FULL'!D130)</f>
        <v>7.9564767980367819</v>
      </c>
      <c r="E130" s="42">
        <f>LN('DATA FULL'!E130)</f>
        <v>26.371897863703346</v>
      </c>
      <c r="F130" s="42">
        <f>LN('DATA FULL'!F130)</f>
        <v>29.889703548170029</v>
      </c>
      <c r="G130" s="13">
        <f>LN('DATA FULL'!G130)</f>
        <v>4.7242883299905527</v>
      </c>
      <c r="H130" s="13">
        <f>LN('DATA FULL'!H130)</f>
        <v>4.7095302013123339</v>
      </c>
      <c r="I130" s="14">
        <f>LN('DATA FULL'!I130)</f>
        <v>1.924372114101</v>
      </c>
      <c r="J130" s="13">
        <v>6.3</v>
      </c>
      <c r="K130" s="15">
        <v>0</v>
      </c>
    </row>
    <row r="131" spans="1:11" x14ac:dyDescent="0.25">
      <c r="A131" s="17" t="s">
        <v>16</v>
      </c>
      <c r="B131" s="1">
        <v>2014</v>
      </c>
      <c r="C131" s="41">
        <f>LN('DATA FULL'!C131)</f>
        <v>23.650924947416275</v>
      </c>
      <c r="D131" s="44">
        <f>LN('DATA FULL'!D131)</f>
        <v>7.9564767980367819</v>
      </c>
      <c r="E131" s="42">
        <f>LN('DATA FULL'!E131)</f>
        <v>26.418624784229671</v>
      </c>
      <c r="F131" s="42">
        <f>LN('DATA FULL'!F131)</f>
        <v>29.980072240509884</v>
      </c>
      <c r="G131" s="13">
        <f>LN('DATA FULL'!G131)</f>
        <v>4.7595971133697663</v>
      </c>
      <c r="H131" s="13">
        <f>LN('DATA FULL'!H131)</f>
        <v>4.7291561657690826</v>
      </c>
      <c r="I131" s="14">
        <f>LN('DATA FULL'!I131)</f>
        <v>1.9777464416030373</v>
      </c>
      <c r="J131" s="13">
        <v>6.3</v>
      </c>
      <c r="K131" s="15">
        <v>2</v>
      </c>
    </row>
    <row r="132" spans="1:11" x14ac:dyDescent="0.25">
      <c r="A132" s="17" t="s">
        <v>16</v>
      </c>
      <c r="B132" s="1">
        <v>2015</v>
      </c>
      <c r="C132" s="41">
        <f>LN('DATA FULL'!C132)</f>
        <v>23.630620650334809</v>
      </c>
      <c r="D132" s="44">
        <f>LN('DATA FULL'!D132)</f>
        <v>7.9564767980367819</v>
      </c>
      <c r="E132" s="42">
        <f>LN('DATA FULL'!E132)</f>
        <v>26.448306973928272</v>
      </c>
      <c r="F132" s="42">
        <f>LN('DATA FULL'!F132)</f>
        <v>30.034498291661095</v>
      </c>
      <c r="G132" s="13">
        <f>LN('DATA FULL'!G132)</f>
        <v>4.7664749286592869</v>
      </c>
      <c r="H132" s="13">
        <f>LN('DATA FULL'!H132)</f>
        <v>4.7440621848547098</v>
      </c>
      <c r="I132" s="14">
        <f>LN('DATA FULL'!I132)</f>
        <v>1.9888015910368393</v>
      </c>
      <c r="J132" s="13">
        <v>6.3</v>
      </c>
      <c r="K132" s="15">
        <v>0</v>
      </c>
    </row>
    <row r="133" spans="1:11" x14ac:dyDescent="0.25">
      <c r="A133" s="17" t="s">
        <v>16</v>
      </c>
      <c r="B133" s="1">
        <v>2016</v>
      </c>
      <c r="C133" s="41">
        <f>LN('DATA FULL'!C133)</f>
        <v>24.588340672288915</v>
      </c>
      <c r="D133" s="44">
        <f>LN('DATA FULL'!D133)</f>
        <v>7.9564767980367819</v>
      </c>
      <c r="E133" s="42">
        <f>LN('DATA FULL'!E133)</f>
        <v>26.487286986062259</v>
      </c>
      <c r="F133" s="42">
        <f>LN('DATA FULL'!F133)</f>
        <v>30.04990491953906</v>
      </c>
      <c r="G133" s="13">
        <f>LN('DATA FULL'!G133)</f>
        <v>4.7611190404905841</v>
      </c>
      <c r="H133" s="13">
        <f>LN('DATA FULL'!H133)</f>
        <v>4.6249728132842707</v>
      </c>
      <c r="I133" s="14">
        <f>LN('DATA FULL'!I133)</f>
        <v>1.9667849347365103</v>
      </c>
      <c r="J133" s="13">
        <v>6.3</v>
      </c>
      <c r="K133" s="15">
        <v>0</v>
      </c>
    </row>
    <row r="134" spans="1:11" x14ac:dyDescent="0.25">
      <c r="A134" s="17" t="s">
        <v>16</v>
      </c>
      <c r="B134" s="1">
        <v>2017</v>
      </c>
      <c r="C134" s="41">
        <f>LN('DATA FULL'!C134)</f>
        <v>24.662627427835524</v>
      </c>
      <c r="D134" s="44">
        <f>LN('DATA FULL'!D134)</f>
        <v>7.9564767980367819</v>
      </c>
      <c r="E134" s="42">
        <f>LN('DATA FULL'!E134)</f>
        <v>26.517744033281858</v>
      </c>
      <c r="F134" s="42">
        <f>LN('DATA FULL'!F134)</f>
        <v>30.141472968730575</v>
      </c>
      <c r="G134" s="13">
        <f>LN('DATA FULL'!G134)</f>
        <v>4.7892514640531809</v>
      </c>
      <c r="H134" s="13">
        <f>LN('DATA FULL'!H134)</f>
        <v>4.6405373298253823</v>
      </c>
      <c r="I134" s="14">
        <f>LN('DATA FULL'!I134)</f>
        <v>2.0092262635148774</v>
      </c>
      <c r="J134" s="13">
        <v>6.3</v>
      </c>
      <c r="K134" s="15">
        <v>0</v>
      </c>
    </row>
    <row r="135" spans="1:11" x14ac:dyDescent="0.25">
      <c r="A135" s="17" t="s">
        <v>16</v>
      </c>
      <c r="B135" s="1">
        <v>2018</v>
      </c>
      <c r="C135" s="41">
        <f>LN('DATA FULL'!C135)</f>
        <v>24.745157859747554</v>
      </c>
      <c r="D135" s="44">
        <f>LN('DATA FULL'!D135)</f>
        <v>7.9564767980367819</v>
      </c>
      <c r="E135" s="42">
        <f>LN('DATA FULL'!E135)</f>
        <v>26.572134883631264</v>
      </c>
      <c r="F135" s="42">
        <f>LN('DATA FULL'!F135)</f>
        <v>30.26254354778947</v>
      </c>
      <c r="G135" s="13">
        <f>LN('DATA FULL'!G135)</f>
        <v>4.8409834550539381</v>
      </c>
      <c r="H135" s="13">
        <f>LN('DATA FULL'!H135)</f>
        <v>4.6615505194241988</v>
      </c>
      <c r="I135" s="14">
        <f>LN('DATA FULL'!I135)</f>
        <v>2.0743988230501493</v>
      </c>
      <c r="J135" s="13">
        <v>6.2</v>
      </c>
      <c r="K135" s="15">
        <v>0</v>
      </c>
    </row>
    <row r="136" spans="1:11" x14ac:dyDescent="0.25">
      <c r="A136" s="17" t="s">
        <v>16</v>
      </c>
      <c r="B136" s="1">
        <v>2019</v>
      </c>
      <c r="C136" s="41">
        <f>LN('DATA FULL'!C136)</f>
        <v>24.832963256100886</v>
      </c>
      <c r="D136" s="44">
        <f>LN('DATA FULL'!D136)</f>
        <v>7.9564767980367819</v>
      </c>
      <c r="E136" s="42">
        <f>LN('DATA FULL'!E136)</f>
        <v>26.65504248557334</v>
      </c>
      <c r="F136" s="42">
        <f>LN('DATA FULL'!F136)</f>
        <v>30.289878867392371</v>
      </c>
      <c r="G136" s="13">
        <f>LN('DATA FULL'!G136)</f>
        <v>4.8646224917961751</v>
      </c>
      <c r="H136" s="13">
        <f>LN('DATA FULL'!H136)</f>
        <v>4.6895113344218426</v>
      </c>
      <c r="I136" s="14">
        <f>LN('DATA FULL'!I136)</f>
        <v>2.0145728373078766</v>
      </c>
      <c r="J136" s="13">
        <v>6.1</v>
      </c>
      <c r="K136" s="15">
        <v>1</v>
      </c>
    </row>
    <row r="137" spans="1:11" x14ac:dyDescent="0.25">
      <c r="A137" s="17" t="s">
        <v>16</v>
      </c>
      <c r="B137" s="1">
        <v>2020</v>
      </c>
      <c r="C137" s="41">
        <f>LN('DATA FULL'!C137)</f>
        <v>24.839405826121123</v>
      </c>
      <c r="D137" s="44">
        <f>LN('DATA FULL'!D137)</f>
        <v>7.9564767980367819</v>
      </c>
      <c r="E137" s="42">
        <f>LN('DATA FULL'!E137)</f>
        <v>26.614222368870674</v>
      </c>
      <c r="F137" s="42">
        <f>LN('DATA FULL'!F137)</f>
        <v>30.318034531545035</v>
      </c>
      <c r="G137" s="13">
        <f>LN('DATA FULL'!G137)</f>
        <v>4.8882722426797667</v>
      </c>
      <c r="H137" s="13">
        <f>LN('DATA FULL'!H137)</f>
        <v>4.7149210499472103</v>
      </c>
      <c r="I137" s="14">
        <f>LN('DATA FULL'!I137)</f>
        <v>1.9728439183771107</v>
      </c>
      <c r="J137" s="13">
        <v>6.1</v>
      </c>
      <c r="K137" s="15">
        <v>1</v>
      </c>
    </row>
    <row r="138" spans="1:11" x14ac:dyDescent="0.25">
      <c r="A138" s="17" t="s">
        <v>16</v>
      </c>
      <c r="B138" s="1">
        <v>2021</v>
      </c>
      <c r="C138" s="41">
        <f>LN('DATA FULL'!C138)</f>
        <v>25.129387332434128</v>
      </c>
      <c r="D138" s="44">
        <f>LN('DATA FULL'!D138)</f>
        <v>7.9564767980367819</v>
      </c>
      <c r="E138" s="42">
        <f>LN('DATA FULL'!E138)</f>
        <v>26.699838447169697</v>
      </c>
      <c r="F138" s="42">
        <f>LN('DATA FULL'!F138)</f>
        <v>30.511368323769631</v>
      </c>
      <c r="G138" s="13">
        <f>LN('DATA FULL'!G138)</f>
        <v>4.9267925204027572</v>
      </c>
      <c r="H138" s="13">
        <f>LN('DATA FULL'!H138)</f>
        <v>4.7238417157055901</v>
      </c>
      <c r="I138" s="14">
        <f>LN('DATA FULL'!I138)</f>
        <v>2.0330814867604601</v>
      </c>
      <c r="J138" s="13">
        <v>6.1</v>
      </c>
      <c r="K138" s="15">
        <v>1</v>
      </c>
    </row>
    <row r="139" spans="1:11" x14ac:dyDescent="0.25">
      <c r="A139" s="17" t="s">
        <v>16</v>
      </c>
      <c r="B139" s="1">
        <v>2022</v>
      </c>
      <c r="C139" s="41">
        <f>LN('DATA FULL'!C139)</f>
        <v>25.200933026617449</v>
      </c>
      <c r="D139" s="44">
        <f>LN('DATA FULL'!D139)</f>
        <v>7.9564767980367819</v>
      </c>
      <c r="E139" s="42">
        <f>LN('DATA FULL'!E139)</f>
        <v>26.725555009839525</v>
      </c>
      <c r="F139" s="42">
        <f>LN('DATA FULL'!F139)</f>
        <v>30.519344748915039</v>
      </c>
      <c r="G139" s="13">
        <f>LN('DATA FULL'!G139)</f>
        <v>4.9833728160014257</v>
      </c>
      <c r="H139" s="13">
        <f>LN('DATA FULL'!H139)</f>
        <v>4.7431914838854663</v>
      </c>
      <c r="I139" s="14">
        <f>LN('DATA FULL'!I139)</f>
        <v>2.090154831290798</v>
      </c>
      <c r="J139" s="13">
        <v>6.1</v>
      </c>
      <c r="K139" s="15">
        <v>1</v>
      </c>
    </row>
    <row r="140" spans="1:11" x14ac:dyDescent="0.25">
      <c r="A140" s="17" t="s">
        <v>16</v>
      </c>
      <c r="B140" s="39">
        <v>2023</v>
      </c>
      <c r="C140" s="41">
        <f>LN('DATA FULL'!C140)</f>
        <v>25.021563406795543</v>
      </c>
      <c r="D140" s="44">
        <f>LN('DATA FULL'!D140)</f>
        <v>7.9564767980367819</v>
      </c>
      <c r="E140" s="42">
        <f>LN('DATA FULL'!E140)</f>
        <v>26.803326317406377</v>
      </c>
      <c r="F140" s="42">
        <f>LN('DATA FULL'!F140)</f>
        <v>30.536301007448845</v>
      </c>
      <c r="G140" s="13">
        <f>LN('DATA FULL'!G140)</f>
        <v>5.0414343927791592</v>
      </c>
      <c r="H140" s="13">
        <f>LN('DATA FULL'!H140)</f>
        <v>4.8844672019054318</v>
      </c>
      <c r="I140" s="14">
        <f>LN('DATA FULL'!I140)</f>
        <v>2.1439822825036559</v>
      </c>
      <c r="J140" s="13">
        <v>6.1</v>
      </c>
      <c r="K140" s="15">
        <v>0</v>
      </c>
    </row>
    <row r="141" spans="1:11" x14ac:dyDescent="0.25">
      <c r="A141" s="17" t="s">
        <v>16</v>
      </c>
      <c r="B141" s="39">
        <v>2024</v>
      </c>
      <c r="C141" s="41">
        <f>LN('DATA FULL'!C141)</f>
        <v>24.996387250926048</v>
      </c>
      <c r="D141" s="44">
        <f>LN('DATA FULL'!D141)</f>
        <v>7.9564767980367819</v>
      </c>
      <c r="E141" s="42">
        <f>LN('DATA FULL'!E141)</f>
        <v>26.858002484224933</v>
      </c>
      <c r="F141" s="42">
        <f>LN('DATA FULL'!F141)</f>
        <v>30.561884316162729</v>
      </c>
      <c r="G141" s="13">
        <f>LN('DATA FULL'!G141)</f>
        <v>5.073055192593821</v>
      </c>
      <c r="H141" s="13">
        <f>LN('DATA FULL'!H141)</f>
        <v>4.8866581142765444</v>
      </c>
      <c r="I141" s="14">
        <f>LN('DATA FULL'!I141)</f>
        <v>2.1950986121935543</v>
      </c>
      <c r="J141" s="13">
        <v>6.1</v>
      </c>
      <c r="K141" s="15">
        <v>1</v>
      </c>
    </row>
    <row r="142" spans="1:11" x14ac:dyDescent="0.25">
      <c r="A142" s="9" t="s">
        <v>17</v>
      </c>
      <c r="B142" s="1">
        <v>2005</v>
      </c>
      <c r="C142" s="41">
        <f>LN('DATA FULL'!C142)</f>
        <v>24.419066398445391</v>
      </c>
      <c r="D142" s="44">
        <f>LN('DATA FULL'!D142)</f>
        <v>8.4073783254090309</v>
      </c>
      <c r="E142" s="42">
        <f>LN('DATA FULL'!E142)</f>
        <v>25.573793791154294</v>
      </c>
      <c r="F142" s="42">
        <f>LN('DATA FULL'!F142)</f>
        <v>28.457807686364216</v>
      </c>
      <c r="G142" s="13">
        <f>LN('DATA FULL'!G142)</f>
        <v>4.4967341680399757</v>
      </c>
      <c r="H142" s="13">
        <f>LN('DATA FULL'!H142)</f>
        <v>4.4602521267032484</v>
      </c>
      <c r="I142" s="14">
        <f>LN('DATA FULL'!I142)</f>
        <v>-1.5939776284590528</v>
      </c>
      <c r="J142" s="13">
        <v>0</v>
      </c>
      <c r="K142" s="15">
        <v>0</v>
      </c>
    </row>
    <row r="143" spans="1:11" x14ac:dyDescent="0.25">
      <c r="A143" s="9" t="s">
        <v>17</v>
      </c>
      <c r="B143" s="1">
        <v>2006</v>
      </c>
      <c r="C143" s="41">
        <f>LN('DATA FULL'!C143)</f>
        <v>24.707733216059665</v>
      </c>
      <c r="D143" s="44">
        <f>LN('DATA FULL'!D143)</f>
        <v>8.4073783254090309</v>
      </c>
      <c r="E143" s="42">
        <f>LN('DATA FULL'!E143)</f>
        <v>25.724707575262755</v>
      </c>
      <c r="F143" s="42">
        <f>LN('DATA FULL'!F143)</f>
        <v>28.643392151793126</v>
      </c>
      <c r="G143" s="13">
        <f>LN('DATA FULL'!G143)</f>
        <v>4.5063171175590613</v>
      </c>
      <c r="H143" s="13">
        <f>LN('DATA FULL'!H143)</f>
        <v>4.4766119038078989</v>
      </c>
      <c r="I143" s="14">
        <f>LN('DATA FULL'!I143)</f>
        <v>-1.6130528776785069</v>
      </c>
      <c r="J143" s="13">
        <v>0</v>
      </c>
      <c r="K143" s="15">
        <v>0</v>
      </c>
    </row>
    <row r="144" spans="1:11" x14ac:dyDescent="0.25">
      <c r="A144" s="9" t="s">
        <v>17</v>
      </c>
      <c r="B144" s="1">
        <v>2007</v>
      </c>
      <c r="C144" s="41">
        <f>LN('DATA FULL'!C144)</f>
        <v>24.831132777228955</v>
      </c>
      <c r="D144" s="44">
        <f>LN('DATA FULL'!D144)</f>
        <v>8.4073783254090309</v>
      </c>
      <c r="E144" s="42">
        <f>LN('DATA FULL'!E144)</f>
        <v>25.921440724384571</v>
      </c>
      <c r="F144" s="42">
        <f>LN('DATA FULL'!F144)</f>
        <v>28.898061054033093</v>
      </c>
      <c r="G144" s="13">
        <f>LN('DATA FULL'!G144)</f>
        <v>4.5271474534570553</v>
      </c>
      <c r="H144" s="13">
        <f>LN('DATA FULL'!H144)</f>
        <v>4.5236554512770768</v>
      </c>
      <c r="I144" s="14">
        <f>LN('DATA FULL'!I144)</f>
        <v>-1.618950494538137</v>
      </c>
      <c r="J144" s="13">
        <v>0</v>
      </c>
      <c r="K144" s="15">
        <v>0</v>
      </c>
    </row>
    <row r="145" spans="1:11" x14ac:dyDescent="0.25">
      <c r="A145" s="9" t="s">
        <v>17</v>
      </c>
      <c r="B145" s="1">
        <v>2008</v>
      </c>
      <c r="C145" s="41">
        <f>LN('DATA FULL'!C145)</f>
        <v>24.895127145686615</v>
      </c>
      <c r="D145" s="44">
        <f>LN('DATA FULL'!D145)</f>
        <v>8.4073783254090309</v>
      </c>
      <c r="E145" s="42">
        <f>LN('DATA FULL'!E145)</f>
        <v>25.989149488876617</v>
      </c>
      <c r="F145" s="42">
        <f>LN('DATA FULL'!F145)</f>
        <v>29.155845527423971</v>
      </c>
      <c r="G145" s="13">
        <f>LN('DATA FULL'!G145)</f>
        <v>4.5913213317583219</v>
      </c>
      <c r="H145" s="13">
        <f>LN('DATA FULL'!H145)</f>
        <v>4.5812189718880054</v>
      </c>
      <c r="I145" s="14">
        <f>LN('DATA FULL'!I145)</f>
        <v>-1.591516940434744</v>
      </c>
      <c r="J145" s="13">
        <v>0</v>
      </c>
      <c r="K145" s="15">
        <v>0</v>
      </c>
    </row>
    <row r="146" spans="1:11" x14ac:dyDescent="0.25">
      <c r="A146" s="9" t="s">
        <v>17</v>
      </c>
      <c r="B146" s="1">
        <v>2009</v>
      </c>
      <c r="C146" s="41">
        <f>LN('DATA FULL'!C146)</f>
        <v>24.680660776245723</v>
      </c>
      <c r="D146" s="44">
        <f>LN('DATA FULL'!D146)</f>
        <v>8.4073783254090309</v>
      </c>
      <c r="E146" s="42">
        <f>LN('DATA FULL'!E146)</f>
        <v>25.991898354732943</v>
      </c>
      <c r="F146" s="42">
        <f>LN('DATA FULL'!F146)</f>
        <v>29.260593193705468</v>
      </c>
      <c r="G146" s="13">
        <f>LN('DATA FULL'!G146)</f>
        <v>4.5972708683685592</v>
      </c>
      <c r="H146" s="13">
        <f>LN('DATA FULL'!H146)</f>
        <v>4.5739106174644144</v>
      </c>
      <c r="I146" s="14">
        <f>LN('DATA FULL'!I146)</f>
        <v>-1.5468596656361222</v>
      </c>
      <c r="J146" s="13">
        <v>0</v>
      </c>
      <c r="K146" s="15">
        <v>0</v>
      </c>
    </row>
    <row r="147" spans="1:11" x14ac:dyDescent="0.25">
      <c r="A147" s="9" t="s">
        <v>17</v>
      </c>
      <c r="B147" s="1">
        <v>2010</v>
      </c>
      <c r="C147" s="41">
        <f>LN('DATA FULL'!C147)</f>
        <v>24.974061490134265</v>
      </c>
      <c r="D147" s="44">
        <f>LN('DATA FULL'!D147)</f>
        <v>8.4073783254090309</v>
      </c>
      <c r="E147" s="42">
        <f>LN('DATA FULL'!E147)</f>
        <v>26.203104359183047</v>
      </c>
      <c r="F147" s="42">
        <f>LN('DATA FULL'!F147)</f>
        <v>29.43720796596909</v>
      </c>
      <c r="G147" s="13">
        <f>LN('DATA FULL'!G147)</f>
        <v>4.6251159402960136</v>
      </c>
      <c r="H147" s="13">
        <f>LN('DATA FULL'!H147)</f>
        <v>4.6051701859880918</v>
      </c>
      <c r="I147" s="14">
        <f>LN('DATA FULL'!I147)</f>
        <v>-1.6024797895137717</v>
      </c>
      <c r="J147" s="13">
        <v>0</v>
      </c>
      <c r="K147" s="15">
        <v>0</v>
      </c>
    </row>
    <row r="148" spans="1:11" x14ac:dyDescent="0.25">
      <c r="A148" s="9" t="s">
        <v>17</v>
      </c>
      <c r="B148" s="1">
        <v>2011</v>
      </c>
      <c r="C148" s="41">
        <f>LN('DATA FULL'!C148)</f>
        <v>25.115045360792539</v>
      </c>
      <c r="D148" s="44">
        <f>LN('DATA FULL'!D148)</f>
        <v>8.4073783254090309</v>
      </c>
      <c r="E148" s="42">
        <f>LN('DATA FULL'!E148)</f>
        <v>26.355754577626435</v>
      </c>
      <c r="F148" s="42">
        <f>LN('DATA FULL'!F148)</f>
        <v>29.652773387178172</v>
      </c>
      <c r="G148" s="13">
        <f>LN('DATA FULL'!G148)</f>
        <v>4.6762631174712723</v>
      </c>
      <c r="H148" s="13">
        <f>LN('DATA FULL'!H148)</f>
        <v>4.6577626361072619</v>
      </c>
      <c r="I148" s="14">
        <f>LN('DATA FULL'!I148)</f>
        <v>-1.6365105193751912</v>
      </c>
      <c r="J148" s="13">
        <v>0</v>
      </c>
      <c r="K148" s="15">
        <v>0</v>
      </c>
    </row>
    <row r="149" spans="1:11" x14ac:dyDescent="0.25">
      <c r="A149" s="9" t="s">
        <v>17</v>
      </c>
      <c r="B149" s="1">
        <v>2012</v>
      </c>
      <c r="C149" s="41">
        <f>LN('DATA FULL'!C149)</f>
        <v>25.145264893227658</v>
      </c>
      <c r="D149" s="44">
        <f>LN('DATA FULL'!D149)</f>
        <v>8.4073783254090309</v>
      </c>
      <c r="E149" s="42">
        <f>LN('DATA FULL'!E149)</f>
        <v>26.410556018559451</v>
      </c>
      <c r="F149" s="42">
        <f>LN('DATA FULL'!F149)</f>
        <v>29.774866644114127</v>
      </c>
      <c r="G149" s="13">
        <f>LN('DATA FULL'!G149)</f>
        <v>4.7210037671366543</v>
      </c>
      <c r="H149" s="13">
        <f>LN('DATA FULL'!H149)</f>
        <v>4.6839813664123815</v>
      </c>
      <c r="I149" s="14">
        <f>LN('DATA FULL'!I149)</f>
        <v>-1.6196208306543587</v>
      </c>
      <c r="J149" s="13">
        <v>0.2</v>
      </c>
      <c r="K149" s="15">
        <v>0</v>
      </c>
    </row>
    <row r="150" spans="1:11" x14ac:dyDescent="0.25">
      <c r="A150" s="9" t="s">
        <v>17</v>
      </c>
      <c r="B150" s="1">
        <v>2013</v>
      </c>
      <c r="C150" s="41">
        <f>LN('DATA FULL'!C150)</f>
        <v>25.247473358206875</v>
      </c>
      <c r="D150" s="44">
        <f>LN('DATA FULL'!D150)</f>
        <v>8.4073783254090309</v>
      </c>
      <c r="E150" s="42">
        <f>LN('DATA FULL'!E150)</f>
        <v>26.451989220470576</v>
      </c>
      <c r="F150" s="42">
        <f>LN('DATA FULL'!F150)</f>
        <v>29.889703548170029</v>
      </c>
      <c r="G150" s="13">
        <f>LN('DATA FULL'!G150)</f>
        <v>4.7443154164964429</v>
      </c>
      <c r="H150" s="13">
        <f>LN('DATA FULL'!H150)</f>
        <v>4.7095302013123339</v>
      </c>
      <c r="I150" s="14">
        <f>LN('DATA FULL'!I150)</f>
        <v>-1.5996819093045076</v>
      </c>
      <c r="J150" s="13">
        <v>0.2</v>
      </c>
      <c r="K150" s="15">
        <v>0</v>
      </c>
    </row>
    <row r="151" spans="1:11" x14ac:dyDescent="0.25">
      <c r="A151" s="9" t="s">
        <v>17</v>
      </c>
      <c r="B151" s="1">
        <v>2014</v>
      </c>
      <c r="C151" s="41">
        <f>LN('DATA FULL'!C151)</f>
        <v>25.285997518513767</v>
      </c>
      <c r="D151" s="44">
        <f>LN('DATA FULL'!D151)</f>
        <v>8.4073783254090309</v>
      </c>
      <c r="E151" s="42">
        <f>LN('DATA FULL'!E151)</f>
        <v>26.475405305009847</v>
      </c>
      <c r="F151" s="42">
        <f>LN('DATA FULL'!F151)</f>
        <v>29.980072240509884</v>
      </c>
      <c r="G151" s="13">
        <f>LN('DATA FULL'!G151)</f>
        <v>4.7545147635574994</v>
      </c>
      <c r="H151" s="13">
        <f>LN('DATA FULL'!H151)</f>
        <v>4.7291561657690826</v>
      </c>
      <c r="I151" s="14">
        <f>LN('DATA FULL'!I151)</f>
        <v>-1.5786925207269629</v>
      </c>
      <c r="J151" s="13">
        <v>0.2</v>
      </c>
      <c r="K151" s="15">
        <v>0</v>
      </c>
    </row>
    <row r="152" spans="1:11" x14ac:dyDescent="0.25">
      <c r="A152" s="9" t="s">
        <v>17</v>
      </c>
      <c r="B152" s="1">
        <v>2015</v>
      </c>
      <c r="C152" s="41">
        <f>LN('DATA FULL'!C152)</f>
        <v>25.228009534077774</v>
      </c>
      <c r="D152" s="44">
        <f>LN('DATA FULL'!D152)</f>
        <v>8.4073783254090309</v>
      </c>
      <c r="E152" s="42">
        <f>LN('DATA FULL'!E152)</f>
        <v>26.453360896757527</v>
      </c>
      <c r="F152" s="42">
        <f>LN('DATA FULL'!F152)</f>
        <v>30.034498291661095</v>
      </c>
      <c r="G152" s="13">
        <f>LN('DATA FULL'!G152)</f>
        <v>4.7492748589568068</v>
      </c>
      <c r="H152" s="13">
        <f>LN('DATA FULL'!H152)</f>
        <v>4.7440621848547098</v>
      </c>
      <c r="I152" s="14">
        <f>LN('DATA FULL'!I152)</f>
        <v>-1.5106466989907377</v>
      </c>
      <c r="J152" s="13">
        <v>0.2</v>
      </c>
      <c r="K152" s="15">
        <v>0</v>
      </c>
    </row>
    <row r="153" spans="1:11" x14ac:dyDescent="0.25">
      <c r="A153" s="9" t="s">
        <v>17</v>
      </c>
      <c r="B153" s="1">
        <v>2016</v>
      </c>
      <c r="C153" s="41">
        <f>LN('DATA FULL'!C153)</f>
        <v>25.01889303019172</v>
      </c>
      <c r="D153" s="44">
        <f>LN('DATA FULL'!D153)</f>
        <v>8.4073783254090309</v>
      </c>
      <c r="E153" s="42">
        <f>LN('DATA FULL'!E153)</f>
        <v>26.490481436144098</v>
      </c>
      <c r="F153" s="42">
        <f>LN('DATA FULL'!F153)</f>
        <v>30.04990491953906</v>
      </c>
      <c r="G153" s="13">
        <f>LN('DATA FULL'!G153)</f>
        <v>4.7242415481763294</v>
      </c>
      <c r="H153" s="13">
        <f>LN('DATA FULL'!H153)</f>
        <v>4.6249728132842707</v>
      </c>
      <c r="I153" s="14">
        <f>LN('DATA FULL'!I153)</f>
        <v>-1.570582682955256</v>
      </c>
      <c r="J153" s="13">
        <v>0</v>
      </c>
      <c r="K153" s="15">
        <v>0</v>
      </c>
    </row>
    <row r="154" spans="1:11" x14ac:dyDescent="0.25">
      <c r="A154" s="9" t="s">
        <v>17</v>
      </c>
      <c r="B154" s="1">
        <v>2017</v>
      </c>
      <c r="C154" s="41">
        <f>LN('DATA FULL'!C154)</f>
        <v>25.093399202964939</v>
      </c>
      <c r="D154" s="44">
        <f>LN('DATA FULL'!D154)</f>
        <v>8.4073783254090309</v>
      </c>
      <c r="E154" s="42">
        <f>LN('DATA FULL'!E154)</f>
        <v>26.562957435314576</v>
      </c>
      <c r="F154" s="42">
        <f>LN('DATA FULL'!F154)</f>
        <v>30.141472968730575</v>
      </c>
      <c r="G154" s="13">
        <f>LN('DATA FULL'!G154)</f>
        <v>4.7299926109783534</v>
      </c>
      <c r="H154" s="13">
        <f>LN('DATA FULL'!H154)</f>
        <v>4.6405373298253823</v>
      </c>
      <c r="I154" s="14">
        <f>LN('DATA FULL'!I154)</f>
        <v>-1.588085149789239</v>
      </c>
      <c r="J154" s="13">
        <v>0</v>
      </c>
      <c r="K154" s="15">
        <v>0</v>
      </c>
    </row>
    <row r="155" spans="1:11" x14ac:dyDescent="0.25">
      <c r="A155" s="9" t="s">
        <v>17</v>
      </c>
      <c r="B155" s="1">
        <v>2018</v>
      </c>
      <c r="C155" s="41">
        <f>LN('DATA FULL'!C155)</f>
        <v>25.150559280712411</v>
      </c>
      <c r="D155" s="44">
        <f>LN('DATA FULL'!D155)</f>
        <v>8.4073783254090309</v>
      </c>
      <c r="E155" s="42">
        <f>LN('DATA FULL'!E155)</f>
        <v>26.655839115289833</v>
      </c>
      <c r="F155" s="42">
        <f>LN('DATA FULL'!F155)</f>
        <v>30.26254354778947</v>
      </c>
      <c r="G155" s="13">
        <f>LN('DATA FULL'!G155)</f>
        <v>4.7343708546178718</v>
      </c>
      <c r="H155" s="13">
        <f>LN('DATA FULL'!H155)</f>
        <v>4.6615505194241988</v>
      </c>
      <c r="I155" s="14">
        <f>LN('DATA FULL'!I155)</f>
        <v>-1.5902382856421182</v>
      </c>
      <c r="J155" s="13">
        <v>0</v>
      </c>
      <c r="K155" s="15">
        <v>0</v>
      </c>
    </row>
    <row r="156" spans="1:11" x14ac:dyDescent="0.25">
      <c r="A156" s="9" t="s">
        <v>17</v>
      </c>
      <c r="B156" s="1">
        <v>2019</v>
      </c>
      <c r="C156" s="41">
        <f>LN('DATA FULL'!C156)</f>
        <v>25.225238032066851</v>
      </c>
      <c r="D156" s="44">
        <f>LN('DATA FULL'!D156)</f>
        <v>8.4073783254090309</v>
      </c>
      <c r="E156" s="42">
        <f>LN('DATA FULL'!E156)</f>
        <v>26.65328573550023</v>
      </c>
      <c r="F156" s="42">
        <f>LN('DATA FULL'!F156)</f>
        <v>30.289878867392371</v>
      </c>
      <c r="G156" s="13">
        <f>LN('DATA FULL'!G156)</f>
        <v>4.7400330937270514</v>
      </c>
      <c r="H156" s="13">
        <f>LN('DATA FULL'!H156)</f>
        <v>4.6895113344218426</v>
      </c>
      <c r="I156" s="14">
        <f>LN('DATA FULL'!I156)</f>
        <v>-1.6221982598362938</v>
      </c>
      <c r="J156" s="13">
        <v>0</v>
      </c>
      <c r="K156" s="15">
        <v>0</v>
      </c>
    </row>
    <row r="157" spans="1:11" x14ac:dyDescent="0.25">
      <c r="A157" s="9" t="s">
        <v>17</v>
      </c>
      <c r="B157" s="1">
        <v>2020</v>
      </c>
      <c r="C157" s="41">
        <f>LN('DATA FULL'!C157)</f>
        <v>25.212939789338272</v>
      </c>
      <c r="D157" s="44">
        <f>LN('DATA FULL'!D157)</f>
        <v>8.4073783254090309</v>
      </c>
      <c r="E157" s="42">
        <f>LN('DATA FULL'!E157)</f>
        <v>26.578812885641085</v>
      </c>
      <c r="F157" s="42">
        <f>LN('DATA FULL'!F157)</f>
        <v>30.318034531545035</v>
      </c>
      <c r="G157" s="13">
        <f>LN('DATA FULL'!G157)</f>
        <v>4.7383104922414212</v>
      </c>
      <c r="H157" s="13">
        <f>LN('DATA FULL'!H157)</f>
        <v>4.7149210499472103</v>
      </c>
      <c r="I157" s="14">
        <f>LN('DATA FULL'!I157)</f>
        <v>-1.6097363202901336</v>
      </c>
      <c r="J157" s="13">
        <v>0</v>
      </c>
      <c r="K157" s="15">
        <v>0</v>
      </c>
    </row>
    <row r="158" spans="1:11" x14ac:dyDescent="0.25">
      <c r="A158" s="9" t="s">
        <v>17</v>
      </c>
      <c r="B158" s="1">
        <v>2021</v>
      </c>
      <c r="C158" s="41">
        <f>LN('DATA FULL'!C158)</f>
        <v>25.264223731149016</v>
      </c>
      <c r="D158" s="44">
        <f>LN('DATA FULL'!D158)</f>
        <v>8.4073783254090309</v>
      </c>
      <c r="E158" s="42">
        <f>LN('DATA FULL'!E158)</f>
        <v>26.802263542549685</v>
      </c>
      <c r="F158" s="42">
        <f>LN('DATA FULL'!F158)</f>
        <v>30.511368323769631</v>
      </c>
      <c r="G158" s="13">
        <f>LN('DATA FULL'!G158)</f>
        <v>4.7612073779438173</v>
      </c>
      <c r="H158" s="13">
        <f>LN('DATA FULL'!H158)</f>
        <v>4.7238417157055901</v>
      </c>
      <c r="I158" s="14">
        <f>LN('DATA FULL'!I158)</f>
        <v>-1.5686554878369408</v>
      </c>
      <c r="J158" s="13">
        <v>0</v>
      </c>
      <c r="K158" s="15">
        <v>0</v>
      </c>
    </row>
    <row r="159" spans="1:11" x14ac:dyDescent="0.25">
      <c r="A159" s="9" t="s">
        <v>17</v>
      </c>
      <c r="B159" s="1">
        <v>2022</v>
      </c>
      <c r="C159" s="41">
        <f>LN('DATA FULL'!C159)</f>
        <v>25.476405762086198</v>
      </c>
      <c r="D159" s="44">
        <f>LN('DATA FULL'!D159)</f>
        <v>8.4073783254090309</v>
      </c>
      <c r="E159" s="42">
        <f>LN('DATA FULL'!E159)</f>
        <v>26.955748904251131</v>
      </c>
      <c r="F159" s="42">
        <f>LN('DATA FULL'!F159)</f>
        <v>30.519344748915039</v>
      </c>
      <c r="G159" s="13">
        <f>LN('DATA FULL'!G159)</f>
        <v>4.8207109404475208</v>
      </c>
      <c r="H159" s="13">
        <f>LN('DATA FULL'!H159)</f>
        <v>4.7431914838854663</v>
      </c>
      <c r="I159" s="14">
        <f>LN('DATA FULL'!I159)</f>
        <v>-1.5865211006406756</v>
      </c>
      <c r="J159" s="13">
        <v>0</v>
      </c>
      <c r="K159" s="15">
        <v>0</v>
      </c>
    </row>
    <row r="160" spans="1:11" x14ac:dyDescent="0.25">
      <c r="A160" s="9" t="s">
        <v>17</v>
      </c>
      <c r="B160" s="39">
        <v>2023</v>
      </c>
      <c r="C160" s="41">
        <f>LN('DATA FULL'!C160)</f>
        <v>25.433097853167503</v>
      </c>
      <c r="D160" s="44">
        <f>LN('DATA FULL'!D160)</f>
        <v>8.4073783254090309</v>
      </c>
      <c r="E160" s="42">
        <f>LN('DATA FULL'!E160)</f>
        <v>26.948694212615621</v>
      </c>
      <c r="F160" s="42">
        <f>LN('DATA FULL'!F160)</f>
        <v>30.536301007448845</v>
      </c>
      <c r="G160" s="13">
        <f>LN('DATA FULL'!G160)</f>
        <v>4.8679162649289358</v>
      </c>
      <c r="H160" s="13">
        <f>LN('DATA FULL'!H160)</f>
        <v>4.8844672019054318</v>
      </c>
      <c r="I160" s="14">
        <f>LN('DATA FULL'!I160)</f>
        <v>-1.5654376609662244</v>
      </c>
      <c r="J160" s="13">
        <v>0</v>
      </c>
      <c r="K160" s="15">
        <v>0</v>
      </c>
    </row>
    <row r="161" spans="1:11" x14ac:dyDescent="0.25">
      <c r="A161" s="9" t="s">
        <v>17</v>
      </c>
      <c r="B161" s="39">
        <v>2024</v>
      </c>
      <c r="C161" s="41">
        <f>LN('DATA FULL'!C161)</f>
        <v>25.437667942076878</v>
      </c>
      <c r="D161" s="44">
        <f>LN('DATA FULL'!D161)</f>
        <v>8.4073783254090309</v>
      </c>
      <c r="E161" s="42">
        <f>LN('DATA FULL'!E161)</f>
        <v>27.028421237734491</v>
      </c>
      <c r="F161" s="42">
        <f>LN('DATA FULL'!F161)</f>
        <v>30.561884316162729</v>
      </c>
      <c r="G161" s="13">
        <f>LN('DATA FULL'!G161)</f>
        <v>4.8915303569635853</v>
      </c>
      <c r="H161" s="13">
        <f>LN('DATA FULL'!H161)</f>
        <v>4.8866581142765444</v>
      </c>
      <c r="I161" s="14">
        <f>LN('DATA FULL'!I161)</f>
        <v>-1.5542657669506064</v>
      </c>
      <c r="J161" s="13">
        <v>0</v>
      </c>
      <c r="K161" s="15">
        <v>0</v>
      </c>
    </row>
    <row r="162" spans="1:11" x14ac:dyDescent="0.25">
      <c r="A162" s="9" t="s">
        <v>18</v>
      </c>
      <c r="B162" s="1">
        <v>2005</v>
      </c>
      <c r="C162" s="41">
        <f>LN('DATA FULL'!C162)</f>
        <v>23.731838409488766</v>
      </c>
      <c r="D162" s="44">
        <f>LN('DATA FULL'!D162)</f>
        <v>8.1010078261376908</v>
      </c>
      <c r="E162" s="42">
        <f>LN('DATA FULL'!E162)</f>
        <v>25.966696135381383</v>
      </c>
      <c r="F162" s="42">
        <f>LN('DATA FULL'!F162)</f>
        <v>28.457807686364216</v>
      </c>
      <c r="G162" s="13">
        <f>LN('DATA FULL'!G162)</f>
        <v>4.4761647642592477</v>
      </c>
      <c r="H162" s="13">
        <f>LN('DATA FULL'!H162)</f>
        <v>4.4602521267032484</v>
      </c>
      <c r="I162" s="14">
        <f>LN('DATA FULL'!I162)</f>
        <v>1.59092679719926</v>
      </c>
      <c r="J162" s="13">
        <v>10</v>
      </c>
      <c r="K162" s="15">
        <v>0</v>
      </c>
    </row>
    <row r="163" spans="1:11" x14ac:dyDescent="0.25">
      <c r="A163" s="9" t="s">
        <v>18</v>
      </c>
      <c r="B163" s="1">
        <v>2006</v>
      </c>
      <c r="C163" s="41">
        <f>LN('DATA FULL'!C163)</f>
        <v>23.966302307999356</v>
      </c>
      <c r="D163" s="44">
        <f>LN('DATA FULL'!D163)</f>
        <v>8.1010078261376908</v>
      </c>
      <c r="E163" s="42">
        <f>LN('DATA FULL'!E163)</f>
        <v>26.124853869033242</v>
      </c>
      <c r="F163" s="42">
        <f>LN('DATA FULL'!F163)</f>
        <v>28.643392151793126</v>
      </c>
      <c r="G163" s="13">
        <f>LN('DATA FULL'!G163)</f>
        <v>4.5222087061737435</v>
      </c>
      <c r="H163" s="13">
        <f>LN('DATA FULL'!H163)</f>
        <v>4.4766119038078989</v>
      </c>
      <c r="I163" s="14">
        <f>LN('DATA FULL'!I163)</f>
        <v>1.5583598130956782</v>
      </c>
      <c r="J163" s="13">
        <v>10</v>
      </c>
      <c r="K163" s="15">
        <v>0</v>
      </c>
    </row>
    <row r="164" spans="1:11" x14ac:dyDescent="0.25">
      <c r="A164" s="9" t="s">
        <v>18</v>
      </c>
      <c r="B164" s="1">
        <v>2007</v>
      </c>
      <c r="C164" s="41">
        <f>LN('DATA FULL'!C164)</f>
        <v>24.164502375687533</v>
      </c>
      <c r="D164" s="44">
        <f>LN('DATA FULL'!D164)</f>
        <v>8.1010078261376908</v>
      </c>
      <c r="E164" s="42">
        <f>LN('DATA FULL'!E164)</f>
        <v>26.295201675949354</v>
      </c>
      <c r="F164" s="42">
        <f>LN('DATA FULL'!F164)</f>
        <v>28.898061054033093</v>
      </c>
      <c r="G164" s="13">
        <f>LN('DATA FULL'!G164)</f>
        <v>4.5436439766137111</v>
      </c>
      <c r="H164" s="13">
        <f>LN('DATA FULL'!H164)</f>
        <v>4.5236554512770768</v>
      </c>
      <c r="I164" s="14">
        <f>LN('DATA FULL'!I164)</f>
        <v>1.5123472840281482</v>
      </c>
      <c r="J164" s="13">
        <v>10.5</v>
      </c>
      <c r="K164" s="15">
        <v>0</v>
      </c>
    </row>
    <row r="165" spans="1:11" x14ac:dyDescent="0.25">
      <c r="A165" s="9" t="s">
        <v>18</v>
      </c>
      <c r="B165" s="1">
        <v>2008</v>
      </c>
      <c r="C165" s="41">
        <f>LN('DATA FULL'!C165)</f>
        <v>24.311712277410837</v>
      </c>
      <c r="D165" s="44">
        <f>LN('DATA FULL'!D165)</f>
        <v>8.1010078261376908</v>
      </c>
      <c r="E165" s="42">
        <f>LN('DATA FULL'!E165)</f>
        <v>26.397904329657496</v>
      </c>
      <c r="F165" s="42">
        <f>LN('DATA FULL'!F165)</f>
        <v>29.155845527423971</v>
      </c>
      <c r="G165" s="13">
        <f>LN('DATA FULL'!G165)</f>
        <v>4.5970455705019031</v>
      </c>
      <c r="H165" s="13">
        <f>LN('DATA FULL'!H165)</f>
        <v>4.5812189718880054</v>
      </c>
      <c r="I165" s="14">
        <f>LN('DATA FULL'!I165)</f>
        <v>1.5674086202262254</v>
      </c>
      <c r="J165" s="13">
        <v>10.5</v>
      </c>
      <c r="K165" s="15">
        <v>0</v>
      </c>
    </row>
    <row r="166" spans="1:11" x14ac:dyDescent="0.25">
      <c r="A166" s="9" t="s">
        <v>18</v>
      </c>
      <c r="B166" s="1">
        <v>2009</v>
      </c>
      <c r="C166" s="41">
        <f>LN('DATA FULL'!C166)</f>
        <v>24.226819001364426</v>
      </c>
      <c r="D166" s="44">
        <f>LN('DATA FULL'!D166)</f>
        <v>8.1010078261376908</v>
      </c>
      <c r="E166" s="42">
        <f>LN('DATA FULL'!E166)</f>
        <v>26.364146246960988</v>
      </c>
      <c r="F166" s="42">
        <f>LN('DATA FULL'!F166)</f>
        <v>29.260593193705468</v>
      </c>
      <c r="G166" s="13">
        <f>LN('DATA FULL'!G166)</f>
        <v>4.5883084221108721</v>
      </c>
      <c r="H166" s="13">
        <f>LN('DATA FULL'!H166)</f>
        <v>4.5739106174644144</v>
      </c>
      <c r="I166" s="14">
        <f>LN('DATA FULL'!I166)</f>
        <v>1.6131985392342929</v>
      </c>
      <c r="J166" s="13">
        <v>9.9</v>
      </c>
      <c r="K166" s="15">
        <v>0</v>
      </c>
    </row>
    <row r="167" spans="1:11" x14ac:dyDescent="0.25">
      <c r="A167" s="9" t="s">
        <v>18</v>
      </c>
      <c r="B167" s="1">
        <v>2010</v>
      </c>
      <c r="C167" s="41">
        <f>LN('DATA FULL'!C167)</f>
        <v>24.552016475229273</v>
      </c>
      <c r="D167" s="44">
        <f>LN('DATA FULL'!D167)</f>
        <v>8.1010078261376908</v>
      </c>
      <c r="E167" s="42">
        <f>LN('DATA FULL'!E167)</f>
        <v>26.555455499680505</v>
      </c>
      <c r="F167" s="42">
        <f>LN('DATA FULL'!F167)</f>
        <v>29.43720796596909</v>
      </c>
      <c r="G167" s="13">
        <f>LN('DATA FULL'!G167)</f>
        <v>4.6207619994539355</v>
      </c>
      <c r="H167" s="13">
        <f>LN('DATA FULL'!H167)</f>
        <v>4.6051701859880918</v>
      </c>
      <c r="I167" s="14">
        <f>LN('DATA FULL'!I167)</f>
        <v>1.5433248083076647</v>
      </c>
      <c r="J167" s="13">
        <v>9.9</v>
      </c>
      <c r="K167" s="15">
        <v>0</v>
      </c>
    </row>
    <row r="168" spans="1:11" x14ac:dyDescent="0.25">
      <c r="A168" s="9" t="s">
        <v>18</v>
      </c>
      <c r="B168" s="1">
        <v>2011</v>
      </c>
      <c r="C168" s="41">
        <f>LN('DATA FULL'!C168)</f>
        <v>24.75789445888531</v>
      </c>
      <c r="D168" s="44">
        <f>LN('DATA FULL'!D168)</f>
        <v>8.1010078261376908</v>
      </c>
      <c r="E168" s="42">
        <f>LN('DATA FULL'!E168)</f>
        <v>26.638979207720375</v>
      </c>
      <c r="F168" s="42">
        <f>LN('DATA FULL'!F168)</f>
        <v>29.652773387178172</v>
      </c>
      <c r="G168" s="13">
        <f>LN('DATA FULL'!G168)</f>
        <v>4.6581591419286656</v>
      </c>
      <c r="H168" s="13">
        <f>LN('DATA FULL'!H168)</f>
        <v>4.6577626361072619</v>
      </c>
      <c r="I168" s="14">
        <f>LN('DATA FULL'!I168)</f>
        <v>1.5516001048706052</v>
      </c>
      <c r="J168" s="13">
        <v>9.8000000000000007</v>
      </c>
      <c r="K168" s="15">
        <v>0</v>
      </c>
    </row>
    <row r="169" spans="1:11" x14ac:dyDescent="0.25">
      <c r="A169" s="9" t="s">
        <v>18</v>
      </c>
      <c r="B169" s="1">
        <v>2012</v>
      </c>
      <c r="C169" s="41">
        <f>LN('DATA FULL'!C169)</f>
        <v>24.882606907164089</v>
      </c>
      <c r="D169" s="44">
        <f>LN('DATA FULL'!D169)</f>
        <v>8.1010078261376908</v>
      </c>
      <c r="E169" s="42">
        <f>LN('DATA FULL'!E169)</f>
        <v>26.708607490537542</v>
      </c>
      <c r="F169" s="42">
        <f>LN('DATA FULL'!F169)</f>
        <v>29.774866644114127</v>
      </c>
      <c r="G169" s="13">
        <f>LN('DATA FULL'!G169)</f>
        <v>4.6878380602791561</v>
      </c>
      <c r="H169" s="13">
        <f>LN('DATA FULL'!H169)</f>
        <v>4.6839813664123815</v>
      </c>
      <c r="I169" s="14">
        <f>LN('DATA FULL'!I169)</f>
        <v>1.5941586836550565</v>
      </c>
      <c r="J169" s="13">
        <v>9.8000000000000007</v>
      </c>
      <c r="K169" s="15">
        <v>0</v>
      </c>
    </row>
    <row r="170" spans="1:11" x14ac:dyDescent="0.25">
      <c r="A170" s="9" t="s">
        <v>18</v>
      </c>
      <c r="B170" s="1">
        <v>2013</v>
      </c>
      <c r="C170" s="41">
        <f>LN('DATA FULL'!C170)</f>
        <v>24.888396517147442</v>
      </c>
      <c r="D170" s="44">
        <f>LN('DATA FULL'!D170)</f>
        <v>8.1010078261376908</v>
      </c>
      <c r="E170" s="42">
        <f>LN('DATA FULL'!E170)</f>
        <v>26.764314648539234</v>
      </c>
      <c r="F170" s="42">
        <f>LN('DATA FULL'!F170)</f>
        <v>29.889703548170029</v>
      </c>
      <c r="G170" s="13">
        <f>LN('DATA FULL'!G170)</f>
        <v>4.7094572256767044</v>
      </c>
      <c r="H170" s="13">
        <f>LN('DATA FULL'!H170)</f>
        <v>4.7095302013123339</v>
      </c>
      <c r="I170" s="14">
        <f>LN('DATA FULL'!I170)</f>
        <v>1.6012431966580265</v>
      </c>
      <c r="J170" s="13">
        <v>11.4</v>
      </c>
      <c r="K170" s="15">
        <v>0</v>
      </c>
    </row>
    <row r="171" spans="1:11" x14ac:dyDescent="0.25">
      <c r="A171" s="9" t="s">
        <v>18</v>
      </c>
      <c r="B171" s="1">
        <v>2014</v>
      </c>
      <c r="C171" s="41">
        <f>LN('DATA FULL'!C171)</f>
        <v>24.871989070296404</v>
      </c>
      <c r="D171" s="44">
        <f>LN('DATA FULL'!D171)</f>
        <v>8.1010078261376908</v>
      </c>
      <c r="E171" s="42">
        <f>LN('DATA FULL'!E171)</f>
        <v>26.732911698216899</v>
      </c>
      <c r="F171" s="42">
        <f>LN('DATA FULL'!F171)</f>
        <v>29.980072240509884</v>
      </c>
      <c r="G171" s="13">
        <f>LN('DATA FULL'!G171)</f>
        <v>4.728222868191545</v>
      </c>
      <c r="H171" s="13">
        <f>LN('DATA FULL'!H171)</f>
        <v>4.7291561657690826</v>
      </c>
      <c r="I171" s="14">
        <f>LN('DATA FULL'!I171)</f>
        <v>1.6652354993299541</v>
      </c>
      <c r="J171" s="13">
        <v>11.6</v>
      </c>
      <c r="K171" s="15">
        <v>1</v>
      </c>
    </row>
    <row r="172" spans="1:11" x14ac:dyDescent="0.25">
      <c r="A172" s="9" t="s">
        <v>18</v>
      </c>
      <c r="B172" s="1">
        <v>2015</v>
      </c>
      <c r="C172" s="41">
        <f>LN('DATA FULL'!C172)</f>
        <v>24.886174256617654</v>
      </c>
      <c r="D172" s="44">
        <f>LN('DATA FULL'!D172)</f>
        <v>8.1010078261376908</v>
      </c>
      <c r="E172" s="42">
        <f>LN('DATA FULL'!E172)</f>
        <v>26.717965740210939</v>
      </c>
      <c r="F172" s="42">
        <f>LN('DATA FULL'!F172)</f>
        <v>30.034498291661095</v>
      </c>
      <c r="G172" s="13">
        <f>LN('DATA FULL'!G172)</f>
        <v>4.7191879195610893</v>
      </c>
      <c r="H172" s="13">
        <f>LN('DATA FULL'!H172)</f>
        <v>4.7440621848547098</v>
      </c>
      <c r="I172" s="14">
        <f>LN('DATA FULL'!I172)</f>
        <v>1.7046467465380812</v>
      </c>
      <c r="J172" s="13">
        <v>11</v>
      </c>
      <c r="K172" s="15">
        <v>1</v>
      </c>
    </row>
    <row r="173" spans="1:11" x14ac:dyDescent="0.25">
      <c r="A173" s="9" t="s">
        <v>18</v>
      </c>
      <c r="B173" s="1">
        <v>2016</v>
      </c>
      <c r="C173" s="41">
        <f>LN('DATA FULL'!C173)</f>
        <v>25.065412253645508</v>
      </c>
      <c r="D173" s="44">
        <f>LN('DATA FULL'!D173)</f>
        <v>8.1010078261376908</v>
      </c>
      <c r="E173" s="42">
        <f>LN('DATA FULL'!E173)</f>
        <v>26.747600082108665</v>
      </c>
      <c r="F173" s="42">
        <f>LN('DATA FULL'!F173)</f>
        <v>30.04990491953906</v>
      </c>
      <c r="G173" s="13">
        <f>LN('DATA FULL'!G173)</f>
        <v>4.7054764716369037</v>
      </c>
      <c r="H173" s="13">
        <f>LN('DATA FULL'!H173)</f>
        <v>4.6249728132842707</v>
      </c>
      <c r="I173" s="14">
        <f>LN('DATA FULL'!I173)</f>
        <v>1.669994395436629</v>
      </c>
      <c r="J173" s="13">
        <v>11</v>
      </c>
      <c r="K173" s="15">
        <v>3</v>
      </c>
    </row>
    <row r="174" spans="1:11" x14ac:dyDescent="0.25">
      <c r="A174" s="9" t="s">
        <v>18</v>
      </c>
      <c r="B174" s="1">
        <v>2017</v>
      </c>
      <c r="C174" s="41">
        <f>LN('DATA FULL'!C174)</f>
        <v>25.107142066801558</v>
      </c>
      <c r="D174" s="44">
        <f>LN('DATA FULL'!D174)</f>
        <v>8.1010078261376908</v>
      </c>
      <c r="E174" s="42">
        <f>LN('DATA FULL'!E174)</f>
        <v>26.846540826304608</v>
      </c>
      <c r="F174" s="42">
        <f>LN('DATA FULL'!F174)</f>
        <v>30.141472968730575</v>
      </c>
      <c r="G174" s="13">
        <f>LN('DATA FULL'!G174)</f>
        <v>4.7121107350954778</v>
      </c>
      <c r="H174" s="13">
        <f>LN('DATA FULL'!H174)</f>
        <v>4.6405373298253823</v>
      </c>
      <c r="I174" s="14">
        <f>LN('DATA FULL'!I174)</f>
        <v>1.613749978541106</v>
      </c>
      <c r="J174" s="13">
        <v>9.6</v>
      </c>
      <c r="K174" s="15">
        <v>2</v>
      </c>
    </row>
    <row r="175" spans="1:11" x14ac:dyDescent="0.25">
      <c r="A175" s="9" t="s">
        <v>18</v>
      </c>
      <c r="B175" s="1">
        <v>2018</v>
      </c>
      <c r="C175" s="41">
        <f>LN('DATA FULL'!C175)</f>
        <v>25.200936690729549</v>
      </c>
      <c r="D175" s="44">
        <f>LN('DATA FULL'!D175)</f>
        <v>8.1010078261376908</v>
      </c>
      <c r="E175" s="42">
        <f>LN('DATA FULL'!E175)</f>
        <v>26.951291926939614</v>
      </c>
      <c r="F175" s="42">
        <f>LN('DATA FULL'!F175)</f>
        <v>30.26254354778947</v>
      </c>
      <c r="G175" s="13">
        <f>LN('DATA FULL'!G175)</f>
        <v>4.7226935148396887</v>
      </c>
      <c r="H175" s="13">
        <f>LN('DATA FULL'!H175)</f>
        <v>4.6615505194241988</v>
      </c>
      <c r="I175" s="14">
        <f>LN('DATA FULL'!I175)</f>
        <v>1.5858992814874431</v>
      </c>
      <c r="J175" s="13">
        <v>9.6</v>
      </c>
      <c r="K175" s="15">
        <v>1</v>
      </c>
    </row>
    <row r="176" spans="1:11" x14ac:dyDescent="0.25">
      <c r="A176" s="9" t="s">
        <v>18</v>
      </c>
      <c r="B176" s="1">
        <v>2019</v>
      </c>
      <c r="C176" s="41">
        <f>LN('DATA FULL'!C176)</f>
        <v>25.242320909558803</v>
      </c>
      <c r="D176" s="44">
        <f>LN('DATA FULL'!D176)</f>
        <v>8.1010078261376908</v>
      </c>
      <c r="E176" s="42">
        <f>LN('DATA FULL'!E176)</f>
        <v>27.022172236917317</v>
      </c>
      <c r="F176" s="42">
        <f>LN('DATA FULL'!F176)</f>
        <v>30.289878867392371</v>
      </c>
      <c r="G176" s="13">
        <f>LN('DATA FULL'!G176)</f>
        <v>4.7297359446290201</v>
      </c>
      <c r="H176" s="13">
        <f>LN('DATA FULL'!H176)</f>
        <v>4.6895113344218426</v>
      </c>
      <c r="I176" s="14">
        <f>LN('DATA FULL'!I176)</f>
        <v>1.5027858042352029</v>
      </c>
      <c r="J176" s="13">
        <v>10.199999999999999</v>
      </c>
      <c r="K176" s="15">
        <v>0</v>
      </c>
    </row>
    <row r="177" spans="1:11" x14ac:dyDescent="0.25">
      <c r="A177" s="9" t="s">
        <v>18</v>
      </c>
      <c r="B177" s="1">
        <v>2020</v>
      </c>
      <c r="C177" s="41">
        <f>LN('DATA FULL'!C177)</f>
        <v>25.316319111962624</v>
      </c>
      <c r="D177" s="44">
        <f>LN('DATA FULL'!D177)</f>
        <v>8.1010078261376908</v>
      </c>
      <c r="E177" s="42">
        <f>LN('DATA FULL'!E177)</f>
        <v>26.938797305891288</v>
      </c>
      <c r="F177" s="42">
        <f>LN('DATA FULL'!F177)</f>
        <v>30.318034531545035</v>
      </c>
      <c r="G177" s="13">
        <f>LN('DATA FULL'!G177)</f>
        <v>4.7212405895966825</v>
      </c>
      <c r="H177" s="13">
        <f>LN('DATA FULL'!H177)</f>
        <v>4.7149210499472103</v>
      </c>
      <c r="I177" s="14">
        <f>LN('DATA FULL'!I177)</f>
        <v>1.5117833394555233</v>
      </c>
      <c r="J177" s="13">
        <v>10.199999999999999</v>
      </c>
      <c r="K177" s="15">
        <v>1</v>
      </c>
    </row>
    <row r="178" spans="1:11" x14ac:dyDescent="0.25">
      <c r="A178" s="9" t="s">
        <v>18</v>
      </c>
      <c r="B178" s="1">
        <v>2021</v>
      </c>
      <c r="C178" s="41">
        <f>LN('DATA FULL'!C178)</f>
        <v>25.599142343244392</v>
      </c>
      <c r="D178" s="44">
        <f>LN('DATA FULL'!D178)</f>
        <v>8.1010078261376908</v>
      </c>
      <c r="E178" s="42">
        <f>LN('DATA FULL'!E178)</f>
        <v>26.950187153176483</v>
      </c>
      <c r="F178" s="42">
        <f>LN('DATA FULL'!F178)</f>
        <v>30.511368323769631</v>
      </c>
      <c r="G178" s="13">
        <f>LN('DATA FULL'!G178)</f>
        <v>4.7334694652985894</v>
      </c>
      <c r="H178" s="13">
        <f>LN('DATA FULL'!H178)</f>
        <v>4.7238417157055901</v>
      </c>
      <c r="I178" s="14">
        <f>LN('DATA FULL'!I178)</f>
        <v>1.6010985851275574</v>
      </c>
      <c r="J178" s="13">
        <v>11.5</v>
      </c>
      <c r="K178" s="15">
        <v>1</v>
      </c>
    </row>
    <row r="179" spans="1:11" x14ac:dyDescent="0.25">
      <c r="A179" s="9" t="s">
        <v>18</v>
      </c>
      <c r="B179" s="1">
        <v>2022</v>
      </c>
      <c r="C179" s="41">
        <f>LN('DATA FULL'!C179)</f>
        <v>25.630997860646318</v>
      </c>
      <c r="D179" s="44">
        <f>LN('DATA FULL'!D179)</f>
        <v>8.1010078261376908</v>
      </c>
      <c r="E179" s="42">
        <f>LN('DATA FULL'!E179)</f>
        <v>26.929125171471718</v>
      </c>
      <c r="F179" s="42">
        <f>LN('DATA FULL'!F179)</f>
        <v>30.519344748915039</v>
      </c>
      <c r="G179" s="13">
        <f>LN('DATA FULL'!G179)</f>
        <v>4.7172315377942446</v>
      </c>
      <c r="H179" s="13">
        <f>LN('DATA FULL'!H179)</f>
        <v>4.7431914838854663</v>
      </c>
      <c r="I179" s="14">
        <f>LN('DATA FULL'!I179)</f>
        <v>1.6494611932128931</v>
      </c>
      <c r="J179" s="13">
        <v>11.5</v>
      </c>
      <c r="K179" s="15">
        <v>0</v>
      </c>
    </row>
    <row r="180" spans="1:11" x14ac:dyDescent="0.25">
      <c r="A180" s="9" t="s">
        <v>18</v>
      </c>
      <c r="B180" s="39">
        <v>2023</v>
      </c>
      <c r="C180" s="41">
        <f>LN('DATA FULL'!C180)</f>
        <v>25.574893198422675</v>
      </c>
      <c r="D180" s="44">
        <f>LN('DATA FULL'!D180)</f>
        <v>8.1010078261376908</v>
      </c>
      <c r="E180" s="42">
        <f>LN('DATA FULL'!E180)</f>
        <v>26.969190965663504</v>
      </c>
      <c r="F180" s="42">
        <f>LN('DATA FULL'!F180)</f>
        <v>30.536301007448845</v>
      </c>
      <c r="G180" s="13">
        <f>LN('DATA FULL'!G180)</f>
        <v>4.7986092162519309</v>
      </c>
      <c r="H180" s="13">
        <f>LN('DATA FULL'!H180)</f>
        <v>4.8844672019054318</v>
      </c>
      <c r="I180" s="14">
        <f>LN('DATA FULL'!I180)</f>
        <v>1.6931019208424423</v>
      </c>
      <c r="J180" s="13">
        <v>12.15</v>
      </c>
      <c r="K180" s="15">
        <v>0</v>
      </c>
    </row>
    <row r="181" spans="1:11" x14ac:dyDescent="0.25">
      <c r="A181" s="9" t="s">
        <v>18</v>
      </c>
      <c r="B181" s="39">
        <v>2024</v>
      </c>
      <c r="C181" s="41">
        <f>LN('DATA FULL'!C181)</f>
        <v>25.622862400518418</v>
      </c>
      <c r="D181" s="44">
        <f>LN('DATA FULL'!D181)</f>
        <v>8.1010078261376908</v>
      </c>
      <c r="E181" s="42">
        <f>LN('DATA FULL'!E181)</f>
        <v>26.989348617616976</v>
      </c>
      <c r="F181" s="42">
        <f>LN('DATA FULL'!F181)</f>
        <v>30.561884316162729</v>
      </c>
      <c r="G181" s="13">
        <f>LN('DATA FULL'!G181)</f>
        <v>4.8121748397744941</v>
      </c>
      <c r="H181" s="13">
        <f>LN('DATA FULL'!H181)</f>
        <v>4.8866581142765444</v>
      </c>
      <c r="I181" s="14">
        <f>LN('DATA FULL'!I181)</f>
        <v>1.7390053262742404</v>
      </c>
      <c r="J181" s="13">
        <v>12.67</v>
      </c>
      <c r="K181" s="15">
        <v>0</v>
      </c>
    </row>
    <row r="182" spans="1:11" x14ac:dyDescent="0.25">
      <c r="A182" s="9" t="s">
        <v>19</v>
      </c>
      <c r="B182" s="1">
        <v>2005</v>
      </c>
      <c r="C182" s="41">
        <f>LN('DATA FULL'!C182)</f>
        <v>22.934590538661411</v>
      </c>
      <c r="D182" s="44">
        <f>LN('DATA FULL'!D182)</f>
        <v>7.7525156369171091</v>
      </c>
      <c r="E182" s="42">
        <f>LN('DATA FULL'!E182)</f>
        <v>24.777365594608035</v>
      </c>
      <c r="F182" s="42">
        <f>LN('DATA FULL'!F182)</f>
        <v>28.457807686364216</v>
      </c>
      <c r="G182" s="13">
        <f>LN('DATA FULL'!G182)</f>
        <v>4.1344033856013285</v>
      </c>
      <c r="H182" s="13">
        <f>LN('DATA FULL'!H182)</f>
        <v>4.4602521267032484</v>
      </c>
      <c r="I182" s="14">
        <f>LN('DATA FULL'!I182)</f>
        <v>7.5680463623031544</v>
      </c>
      <c r="J182" s="13">
        <v>16.8</v>
      </c>
      <c r="K182" s="15">
        <v>1</v>
      </c>
    </row>
    <row r="183" spans="1:11" x14ac:dyDescent="0.25">
      <c r="A183" s="9" t="s">
        <v>19</v>
      </c>
      <c r="B183" s="1">
        <v>2006</v>
      </c>
      <c r="C183" s="41">
        <f>LN('DATA FULL'!C183)</f>
        <v>23.087331655689439</v>
      </c>
      <c r="D183" s="44">
        <f>LN('DATA FULL'!D183)</f>
        <v>7.7525156369171091</v>
      </c>
      <c r="E183" s="42">
        <f>LN('DATA FULL'!E183)</f>
        <v>24.918536067668565</v>
      </c>
      <c r="F183" s="42">
        <f>LN('DATA FULL'!F183)</f>
        <v>28.643392151793126</v>
      </c>
      <c r="G183" s="13">
        <f>LN('DATA FULL'!G183)</f>
        <v>4.2058136326118332</v>
      </c>
      <c r="H183" s="13">
        <f>LN('DATA FULL'!H183)</f>
        <v>4.4766119038078989</v>
      </c>
      <c r="I183" s="14">
        <f>LN('DATA FULL'!I183)</f>
        <v>7.6038687524073145</v>
      </c>
      <c r="J183" s="13">
        <v>16.8</v>
      </c>
      <c r="K183" s="15">
        <v>0</v>
      </c>
    </row>
    <row r="184" spans="1:11" x14ac:dyDescent="0.25">
      <c r="A184" s="9" t="s">
        <v>19</v>
      </c>
      <c r="B184" s="1">
        <v>2007</v>
      </c>
      <c r="C184" s="41">
        <f>LN('DATA FULL'!C184)</f>
        <v>23.517866753516689</v>
      </c>
      <c r="D184" s="44">
        <f>LN('DATA FULL'!D184)</f>
        <v>7.7525156369171091</v>
      </c>
      <c r="E184" s="42">
        <f>LN('DATA FULL'!E184)</f>
        <v>25.072438976561767</v>
      </c>
      <c r="F184" s="42">
        <f>LN('DATA FULL'!F184)</f>
        <v>28.898061054033093</v>
      </c>
      <c r="G184" s="13">
        <f>LN('DATA FULL'!G184)</f>
        <v>4.2854792523500471</v>
      </c>
      <c r="H184" s="13">
        <f>LN('DATA FULL'!H184)</f>
        <v>4.5236554512770768</v>
      </c>
      <c r="I184" s="14">
        <f>LN('DATA FULL'!I184)</f>
        <v>7.6577539484201447</v>
      </c>
      <c r="J184" s="13">
        <v>16.8</v>
      </c>
      <c r="K184" s="15">
        <v>3</v>
      </c>
    </row>
    <row r="185" spans="1:11" x14ac:dyDescent="0.25">
      <c r="A185" s="9" t="s">
        <v>19</v>
      </c>
      <c r="B185" s="1">
        <v>2008</v>
      </c>
      <c r="C185" s="41">
        <f>LN('DATA FULL'!C185)</f>
        <v>23.759357598080811</v>
      </c>
      <c r="D185" s="44">
        <f>LN('DATA FULL'!D185)</f>
        <v>7.7525156369171091</v>
      </c>
      <c r="E185" s="42">
        <f>LN('DATA FULL'!E185)</f>
        <v>25.319701024666603</v>
      </c>
      <c r="F185" s="42">
        <f>LN('DATA FULL'!F185)</f>
        <v>29.155845527423971</v>
      </c>
      <c r="G185" s="13">
        <f>LN('DATA FULL'!G185)</f>
        <v>4.4934479216956538</v>
      </c>
      <c r="H185" s="13">
        <f>LN('DATA FULL'!H185)</f>
        <v>4.5812189718880054</v>
      </c>
      <c r="I185" s="14">
        <f>LN('DATA FULL'!I185)</f>
        <v>7.7605102984100354</v>
      </c>
      <c r="J185" s="13">
        <v>16.8</v>
      </c>
      <c r="K185" s="15">
        <v>2</v>
      </c>
    </row>
    <row r="186" spans="1:11" x14ac:dyDescent="0.25">
      <c r="A186" s="9" t="s">
        <v>19</v>
      </c>
      <c r="B186" s="1">
        <v>2009</v>
      </c>
      <c r="C186" s="41">
        <f>LN('DATA FULL'!C186)</f>
        <v>23.784317576480529</v>
      </c>
      <c r="D186" s="44">
        <f>LN('DATA FULL'!D186)</f>
        <v>7.7525156369171091</v>
      </c>
      <c r="E186" s="42">
        <f>LN('DATA FULL'!E186)</f>
        <v>25.386843219281257</v>
      </c>
      <c r="F186" s="42">
        <f>LN('DATA FULL'!F186)</f>
        <v>29.260593193705468</v>
      </c>
      <c r="G186" s="13">
        <f>LN('DATA FULL'!G186)</f>
        <v>4.5584658200283883</v>
      </c>
      <c r="H186" s="13">
        <f>LN('DATA FULL'!H186)</f>
        <v>4.5739106174644144</v>
      </c>
      <c r="I186" s="14">
        <f>LN('DATA FULL'!I186)</f>
        <v>7.8232577643015704</v>
      </c>
      <c r="J186" s="13">
        <v>10.9</v>
      </c>
      <c r="K186" s="15">
        <v>1</v>
      </c>
    </row>
    <row r="187" spans="1:11" x14ac:dyDescent="0.25">
      <c r="A187" s="9" t="s">
        <v>19</v>
      </c>
      <c r="B187" s="1">
        <v>2010</v>
      </c>
      <c r="C187" s="41">
        <f>LN('DATA FULL'!C187)</f>
        <v>24.031164014785954</v>
      </c>
      <c r="D187" s="44">
        <f>LN('DATA FULL'!D187)</f>
        <v>7.7525156369171091</v>
      </c>
      <c r="E187" s="42">
        <f>LN('DATA FULL'!E187)</f>
        <v>25.715066013297598</v>
      </c>
      <c r="F187" s="42">
        <f>LN('DATA FULL'!F187)</f>
        <v>29.43720796596909</v>
      </c>
      <c r="G187" s="13">
        <f>LN('DATA FULL'!G187)</f>
        <v>4.6465318748471534</v>
      </c>
      <c r="H187" s="13">
        <f>LN('DATA FULL'!H187)</f>
        <v>4.6051701859880918</v>
      </c>
      <c r="I187" s="14">
        <f>LN('DATA FULL'!I187)</f>
        <v>7.9190702386343323</v>
      </c>
      <c r="J187" s="13">
        <v>9.8000000000000007</v>
      </c>
      <c r="K187" s="15">
        <v>0</v>
      </c>
    </row>
    <row r="188" spans="1:11" x14ac:dyDescent="0.25">
      <c r="A188" s="9" t="s">
        <v>19</v>
      </c>
      <c r="B188" s="1">
        <v>2011</v>
      </c>
      <c r="C188" s="41">
        <f>LN('DATA FULL'!C188)</f>
        <v>24.298941597941496</v>
      </c>
      <c r="D188" s="44">
        <f>LN('DATA FULL'!D188)</f>
        <v>7.7525156369171091</v>
      </c>
      <c r="E188" s="42">
        <f>LN('DATA FULL'!E188)</f>
        <v>25.874213931429569</v>
      </c>
      <c r="F188" s="42">
        <f>LN('DATA FULL'!F188)</f>
        <v>29.652773387178172</v>
      </c>
      <c r="G188" s="13">
        <f>LN('DATA FULL'!G188)</f>
        <v>4.8177598403397495</v>
      </c>
      <c r="H188" s="13">
        <f>LN('DATA FULL'!H188)</f>
        <v>4.6577626361072619</v>
      </c>
      <c r="I188" s="14">
        <f>LN('DATA FULL'!I188)</f>
        <v>8.0628001580633288</v>
      </c>
      <c r="J188" s="13">
        <v>9.8000000000000007</v>
      </c>
      <c r="K188" s="15">
        <v>1</v>
      </c>
    </row>
    <row r="189" spans="1:11" x14ac:dyDescent="0.25">
      <c r="A189" s="9" t="s">
        <v>19</v>
      </c>
      <c r="B189" s="1">
        <v>2012</v>
      </c>
      <c r="C189" s="41">
        <f>LN('DATA FULL'!C189)</f>
        <v>24.441074887432226</v>
      </c>
      <c r="D189" s="44">
        <f>LN('DATA FULL'!D189)</f>
        <v>7.7525156369171091</v>
      </c>
      <c r="E189" s="42">
        <f>LN('DATA FULL'!E189)</f>
        <v>25.999289848669321</v>
      </c>
      <c r="F189" s="42">
        <f>LN('DATA FULL'!F189)</f>
        <v>29.774866644114127</v>
      </c>
      <c r="G189" s="13">
        <f>LN('DATA FULL'!G189)</f>
        <v>4.9048109671909161</v>
      </c>
      <c r="H189" s="13">
        <f>LN('DATA FULL'!H189)</f>
        <v>4.6839813664123815</v>
      </c>
      <c r="I189" s="14">
        <f>LN('DATA FULL'!I189)</f>
        <v>8.1015482029101094</v>
      </c>
      <c r="J189" s="13">
        <v>9.5</v>
      </c>
      <c r="K189" s="15">
        <v>1</v>
      </c>
    </row>
    <row r="190" spans="1:11" x14ac:dyDescent="0.25">
      <c r="A190" s="9" t="s">
        <v>19</v>
      </c>
      <c r="B190" s="1">
        <v>2013</v>
      </c>
      <c r="C190" s="41">
        <f>LN('DATA FULL'!C190)</f>
        <v>24.639553834352327</v>
      </c>
      <c r="D190" s="44">
        <f>LN('DATA FULL'!D190)</f>
        <v>7.7525156369171091</v>
      </c>
      <c r="E190" s="42">
        <f>LN('DATA FULL'!E190)</f>
        <v>26.087880232232095</v>
      </c>
      <c r="F190" s="42">
        <f>LN('DATA FULL'!F190)</f>
        <v>29.889703548170029</v>
      </c>
      <c r="G190" s="13">
        <f>LN('DATA FULL'!G190)</f>
        <v>4.9686723711868854</v>
      </c>
      <c r="H190" s="13">
        <f>LN('DATA FULL'!H190)</f>
        <v>4.7095302013123339</v>
      </c>
      <c r="I190" s="14">
        <f>LN('DATA FULL'!I190)</f>
        <v>8.1252371244785984</v>
      </c>
      <c r="J190" s="13">
        <v>9.5</v>
      </c>
      <c r="K190" s="15">
        <v>0</v>
      </c>
    </row>
    <row r="191" spans="1:11" x14ac:dyDescent="0.25">
      <c r="A191" s="9" t="s">
        <v>19</v>
      </c>
      <c r="B191" s="1">
        <v>2014</v>
      </c>
      <c r="C191" s="41">
        <f>LN('DATA FULL'!C191)</f>
        <v>24.796958040517879</v>
      </c>
      <c r="D191" s="44">
        <f>LN('DATA FULL'!D191)</f>
        <v>7.7525156369171091</v>
      </c>
      <c r="E191" s="42">
        <f>LN('DATA FULL'!E191)</f>
        <v>26.176240053663822</v>
      </c>
      <c r="F191" s="42">
        <f>LN('DATA FULL'!F191)</f>
        <v>29.980072240509884</v>
      </c>
      <c r="G191" s="13">
        <f>LN('DATA FULL'!G191)</f>
        <v>5.0086787145756322</v>
      </c>
      <c r="H191" s="13">
        <f>LN('DATA FULL'!H191)</f>
        <v>4.7291561657690826</v>
      </c>
      <c r="I191" s="14">
        <f>LN('DATA FULL'!I191)</f>
        <v>8.1439167327688988</v>
      </c>
      <c r="J191" s="13">
        <v>9.5</v>
      </c>
      <c r="K191" s="15">
        <v>1</v>
      </c>
    </row>
    <row r="192" spans="1:11" x14ac:dyDescent="0.25">
      <c r="A192" s="9" t="s">
        <v>19</v>
      </c>
      <c r="B192" s="1">
        <v>2015</v>
      </c>
      <c r="C192" s="41">
        <f>LN('DATA FULL'!C192)</f>
        <v>24.913054041126973</v>
      </c>
      <c r="D192" s="44">
        <f>LN('DATA FULL'!D192)</f>
        <v>7.7525156369171091</v>
      </c>
      <c r="E192" s="42">
        <f>LN('DATA FULL'!E192)</f>
        <v>26.200809677046614</v>
      </c>
      <c r="F192" s="42">
        <f>LN('DATA FULL'!F192)</f>
        <v>30.034498291661095</v>
      </c>
      <c r="G192" s="13">
        <f>LN('DATA FULL'!G192)</f>
        <v>5.0149811704143925</v>
      </c>
      <c r="H192" s="13">
        <f>LN('DATA FULL'!H192)</f>
        <v>4.7440621848547098</v>
      </c>
      <c r="I192" s="14">
        <f>LN('DATA FULL'!I192)</f>
        <v>8.1559822871889054</v>
      </c>
      <c r="J192" s="13">
        <v>9.5</v>
      </c>
      <c r="K192" s="15">
        <v>1</v>
      </c>
    </row>
    <row r="193" spans="1:11" x14ac:dyDescent="0.25">
      <c r="A193" s="9" t="s">
        <v>19</v>
      </c>
      <c r="B193" s="1">
        <v>2016</v>
      </c>
      <c r="C193" s="41">
        <f>LN('DATA FULL'!C193)</f>
        <v>25.320686081880215</v>
      </c>
      <c r="D193" s="44">
        <f>LN('DATA FULL'!D193)</f>
        <v>7.7525156369171091</v>
      </c>
      <c r="E193" s="42">
        <f>LN('DATA FULL'!E193)</f>
        <v>26.272715397530522</v>
      </c>
      <c r="F193" s="42">
        <f>LN('DATA FULL'!F193)</f>
        <v>30.04990491953906</v>
      </c>
      <c r="G193" s="13">
        <f>LN('DATA FULL'!G193)</f>
        <v>4.9999607419200611</v>
      </c>
      <c r="H193" s="13">
        <f>LN('DATA FULL'!H193)</f>
        <v>4.6249728132842707</v>
      </c>
      <c r="I193" s="14">
        <f>LN('DATA FULL'!I193)</f>
        <v>8.1020527434849203</v>
      </c>
      <c r="J193" s="13">
        <v>9.6</v>
      </c>
      <c r="K193" s="15">
        <v>0</v>
      </c>
    </row>
    <row r="194" spans="1:11" x14ac:dyDescent="0.25">
      <c r="A194" s="9" t="s">
        <v>19</v>
      </c>
      <c r="B194" s="1">
        <v>2017</v>
      </c>
      <c r="C194" s="41">
        <f>LN('DATA FULL'!C194)</f>
        <v>25.534855500939592</v>
      </c>
      <c r="D194" s="44">
        <f>LN('DATA FULL'!D194)</f>
        <v>7.7525156369171091</v>
      </c>
      <c r="E194" s="42">
        <f>LN('DATA FULL'!E194)</f>
        <v>26.362878099473274</v>
      </c>
      <c r="F194" s="42">
        <f>LN('DATA FULL'!F194)</f>
        <v>30.141472968730575</v>
      </c>
      <c r="G194" s="13">
        <f>LN('DATA FULL'!G194)</f>
        <v>5.0345578682127456</v>
      </c>
      <c r="H194" s="13">
        <f>LN('DATA FULL'!H194)</f>
        <v>4.6405373298253823</v>
      </c>
      <c r="I194" s="14">
        <f>LN('DATA FULL'!I194)</f>
        <v>8.1046412144434861</v>
      </c>
      <c r="J194" s="13">
        <v>9.6</v>
      </c>
      <c r="K194" s="15">
        <v>0</v>
      </c>
    </row>
    <row r="195" spans="1:11" x14ac:dyDescent="0.25">
      <c r="A195" s="9" t="s">
        <v>19</v>
      </c>
      <c r="B195" s="1">
        <v>2018</v>
      </c>
      <c r="C195" s="41">
        <f>LN('DATA FULL'!C195)</f>
        <v>25.722680392818273</v>
      </c>
      <c r="D195" s="44">
        <f>LN('DATA FULL'!D195)</f>
        <v>7.7525156369171091</v>
      </c>
      <c r="E195" s="42">
        <f>LN('DATA FULL'!E195)</f>
        <v>26.46018155414275</v>
      </c>
      <c r="F195" s="42">
        <f>LN('DATA FULL'!F195)</f>
        <v>30.26254354778947</v>
      </c>
      <c r="G195" s="13">
        <f>LN('DATA FULL'!G195)</f>
        <v>5.0693421014515305</v>
      </c>
      <c r="H195" s="13">
        <f>LN('DATA FULL'!H195)</f>
        <v>4.6615505194241988</v>
      </c>
      <c r="I195" s="14">
        <f>LN('DATA FULL'!I195)</f>
        <v>8.1363114039993309</v>
      </c>
      <c r="J195" s="13">
        <v>9.5</v>
      </c>
      <c r="K195" s="15">
        <v>0</v>
      </c>
    </row>
    <row r="196" spans="1:11" x14ac:dyDescent="0.25">
      <c r="A196" s="9" t="s">
        <v>19</v>
      </c>
      <c r="B196" s="1">
        <v>2019</v>
      </c>
      <c r="C196" s="41">
        <f>LN('DATA FULL'!C196)</f>
        <v>25.811075917901452</v>
      </c>
      <c r="D196" s="44">
        <f>LN('DATA FULL'!D196)</f>
        <v>7.7525156369171091</v>
      </c>
      <c r="E196" s="42">
        <f>LN('DATA FULL'!E196)</f>
        <v>26.53549985659328</v>
      </c>
      <c r="F196" s="42">
        <f>LN('DATA FULL'!F196)</f>
        <v>30.289878867392371</v>
      </c>
      <c r="G196" s="13">
        <f>LN('DATA FULL'!G196)</f>
        <v>5.0969166419250396</v>
      </c>
      <c r="H196" s="13">
        <f>LN('DATA FULL'!H196)</f>
        <v>4.6895113344218426</v>
      </c>
      <c r="I196" s="14">
        <f>LN('DATA FULL'!I196)</f>
        <v>8.1126956401711681</v>
      </c>
      <c r="J196" s="13">
        <v>9.6</v>
      </c>
      <c r="K196" s="15">
        <v>1</v>
      </c>
    </row>
    <row r="197" spans="1:11" x14ac:dyDescent="0.25">
      <c r="A197" s="9" t="s">
        <v>19</v>
      </c>
      <c r="B197" s="1">
        <v>2020</v>
      </c>
      <c r="C197" s="41">
        <f>LN('DATA FULL'!C197)</f>
        <v>25.988384016408173</v>
      </c>
      <c r="D197" s="44">
        <f>LN('DATA FULL'!D197)</f>
        <v>7.7525156369171091</v>
      </c>
      <c r="E197" s="42">
        <f>LN('DATA FULL'!E197)</f>
        <v>26.571482621557625</v>
      </c>
      <c r="F197" s="42">
        <f>LN('DATA FULL'!F197)</f>
        <v>30.318034531545035</v>
      </c>
      <c r="G197" s="13">
        <f>LN('DATA FULL'!G197)</f>
        <v>5.1286181408014553</v>
      </c>
      <c r="H197" s="13">
        <f>LN('DATA FULL'!H197)</f>
        <v>4.7149210499472103</v>
      </c>
      <c r="I197" s="14">
        <f>LN('DATA FULL'!I197)</f>
        <v>8.1206355927473037</v>
      </c>
      <c r="J197" s="13">
        <v>9.5</v>
      </c>
      <c r="K197" s="15">
        <v>1</v>
      </c>
    </row>
    <row r="198" spans="1:11" x14ac:dyDescent="0.25">
      <c r="A198" s="9" t="s">
        <v>19</v>
      </c>
      <c r="B198" s="1">
        <v>2021</v>
      </c>
      <c r="C198" s="41">
        <f>LN('DATA FULL'!C198)</f>
        <v>26.16232593032586</v>
      </c>
      <c r="D198" s="44">
        <f>LN('DATA FULL'!D198)</f>
        <v>7.7525156369171091</v>
      </c>
      <c r="E198" s="42">
        <f>LN('DATA FULL'!E198)</f>
        <v>26.627195468508756</v>
      </c>
      <c r="F198" s="42">
        <f>LN('DATA FULL'!F198)</f>
        <v>30.511368323769631</v>
      </c>
      <c r="G198" s="13">
        <f>LN('DATA FULL'!G198)</f>
        <v>5.1467990179685952</v>
      </c>
      <c r="H198" s="13">
        <f>LN('DATA FULL'!H198)</f>
        <v>4.7238417157055901</v>
      </c>
      <c r="I198" s="14">
        <f>LN('DATA FULL'!I198)</f>
        <v>8.1862513130492829</v>
      </c>
      <c r="J198" s="13">
        <v>9.6</v>
      </c>
      <c r="K198" s="15">
        <v>0</v>
      </c>
    </row>
    <row r="199" spans="1:11" x14ac:dyDescent="0.25">
      <c r="A199" s="9" t="s">
        <v>19</v>
      </c>
      <c r="B199" s="18">
        <v>2022</v>
      </c>
      <c r="C199" s="41">
        <f>LN('DATA FULL'!C199)</f>
        <v>26.18355338418213</v>
      </c>
      <c r="D199" s="44">
        <f>LN('DATA FULL'!D199)</f>
        <v>7.7525156369171091</v>
      </c>
      <c r="E199" s="42">
        <f>LN('DATA FULL'!E199)</f>
        <v>26.747790889598974</v>
      </c>
      <c r="F199" s="42">
        <f>LN('DATA FULL'!F199)</f>
        <v>30.519344748915039</v>
      </c>
      <c r="G199" s="13">
        <f>LN('DATA FULL'!G199)</f>
        <v>5.1778761572405489</v>
      </c>
      <c r="H199" s="13">
        <f>LN('DATA FULL'!H199)</f>
        <v>4.7431914838854663</v>
      </c>
      <c r="I199" s="14">
        <f>LN('DATA FULL'!I199)</f>
        <v>8.1473341696962329</v>
      </c>
      <c r="J199" s="22">
        <v>9.6</v>
      </c>
      <c r="K199" s="24">
        <v>0</v>
      </c>
    </row>
    <row r="200" spans="1:11" x14ac:dyDescent="0.25">
      <c r="A200" s="9" t="s">
        <v>19</v>
      </c>
      <c r="B200" s="39">
        <v>2023</v>
      </c>
      <c r="C200" s="41">
        <f>LN('DATA FULL'!C200)</f>
        <v>26.181598560701826</v>
      </c>
      <c r="D200" s="44">
        <f>LN('DATA FULL'!D200)</f>
        <v>7.7525156369171091</v>
      </c>
      <c r="E200" s="42">
        <f>LN('DATA FULL'!E200)</f>
        <v>26.795982394176786</v>
      </c>
      <c r="F200" s="42">
        <f>LN('DATA FULL'!F200)</f>
        <v>30.536301007448845</v>
      </c>
      <c r="G200" s="13">
        <f>LN('DATA FULL'!G200)</f>
        <v>5.209887220392897</v>
      </c>
      <c r="H200" s="13">
        <f>LN('DATA FULL'!H200)</f>
        <v>4.8844672019054318</v>
      </c>
      <c r="I200" s="14">
        <f>LN('DATA FULL'!I200)</f>
        <v>8.1776612776214357</v>
      </c>
      <c r="J200" s="13">
        <v>9.6666666666666696</v>
      </c>
      <c r="K200" s="24">
        <v>0</v>
      </c>
    </row>
    <row r="201" spans="1:11" x14ac:dyDescent="0.25">
      <c r="A201" s="9" t="s">
        <v>19</v>
      </c>
      <c r="B201" s="39">
        <v>2024</v>
      </c>
      <c r="C201" s="41">
        <f>LN('DATA FULL'!C201)</f>
        <v>26.288623527213108</v>
      </c>
      <c r="D201" s="44">
        <f>LN('DATA FULL'!D201)</f>
        <v>7.7525156369171091</v>
      </c>
      <c r="E201" s="42">
        <f>LN('DATA FULL'!E201)</f>
        <v>26.889498968637852</v>
      </c>
      <c r="F201" s="42">
        <f>LN('DATA FULL'!F201)</f>
        <v>30.561884316162729</v>
      </c>
      <c r="G201" s="13">
        <f>LN('DATA FULL'!G201)</f>
        <v>5.2454579413723854</v>
      </c>
      <c r="H201" s="13">
        <f>LN('DATA FULL'!H201)</f>
        <v>4.8866581142765444</v>
      </c>
      <c r="I201" s="14">
        <f>LN('DATA FULL'!I201)</f>
        <v>8.1903594816591916</v>
      </c>
      <c r="J201" s="13">
        <v>9.7166666666666703</v>
      </c>
      <c r="K201" s="24">
        <v>0</v>
      </c>
    </row>
    <row r="202" spans="1:11" ht="15.75" customHeight="1" thickBot="1" x14ac:dyDescent="0.3">
      <c r="C202" s="26"/>
    </row>
    <row r="203" spans="1:11" ht="15.75" customHeight="1" thickBot="1" x14ac:dyDescent="0.3">
      <c r="A203" s="40" t="s">
        <v>49</v>
      </c>
      <c r="C203" s="43">
        <f t="shared" ref="C203:K203" si="0">AVERAGE(C2:C201)</f>
        <v>23.464549150767933</v>
      </c>
      <c r="D203" s="43">
        <f t="shared" si="0"/>
        <v>8.1461476874463958</v>
      </c>
      <c r="E203" s="43">
        <f t="shared" si="0"/>
        <v>25.418226951717415</v>
      </c>
      <c r="F203" s="43">
        <f t="shared" si="0"/>
        <v>29.818777746110726</v>
      </c>
      <c r="G203" s="43">
        <f t="shared" si="0"/>
        <v>4.7419976233524102</v>
      </c>
      <c r="H203" s="43">
        <f t="shared" si="0"/>
        <v>4.665748168713014</v>
      </c>
      <c r="I203" s="43">
        <f t="shared" si="0"/>
        <v>3.2239497403585529</v>
      </c>
      <c r="J203" s="43">
        <f t="shared" si="0"/>
        <v>7.0463976190476183</v>
      </c>
      <c r="K203" s="43">
        <f t="shared" si="0"/>
        <v>0.18</v>
      </c>
    </row>
    <row r="204" spans="1:11" ht="15.75" customHeight="1" thickBot="1" x14ac:dyDescent="0.3">
      <c r="A204" s="40" t="s">
        <v>50</v>
      </c>
      <c r="C204" s="43">
        <f t="shared" ref="C204:K204" si="1">_xlfn.STDEV.S(C2:C201)</f>
        <v>1.9008882259983528</v>
      </c>
      <c r="D204" s="43">
        <f t="shared" si="1"/>
        <v>0.23990596221579646</v>
      </c>
      <c r="E204" s="43">
        <f t="shared" si="1"/>
        <v>1.5395127784723228</v>
      </c>
      <c r="F204" s="43">
        <f t="shared" si="1"/>
        <v>0.63199447074843873</v>
      </c>
      <c r="G204" s="43">
        <f t="shared" si="1"/>
        <v>0.24478057735857989</v>
      </c>
      <c r="H204" s="43">
        <f t="shared" si="1"/>
        <v>0.11009755620055539</v>
      </c>
      <c r="I204" s="43">
        <f t="shared" si="1"/>
        <v>3.7405559176630665</v>
      </c>
      <c r="J204" s="43">
        <f t="shared" si="1"/>
        <v>3.9257129826069246</v>
      </c>
      <c r="K204" s="43">
        <f t="shared" si="1"/>
        <v>0.49884288218388723</v>
      </c>
    </row>
    <row r="205" spans="1:11" ht="15.75" customHeight="1" thickBot="1" x14ac:dyDescent="0.3">
      <c r="A205" s="40" t="s">
        <v>51</v>
      </c>
      <c r="C205" s="43">
        <f t="shared" ref="C205:K205" si="2">MEDIAN(C2:C201)</f>
        <v>23.891884711411954</v>
      </c>
      <c r="D205" s="43">
        <f t="shared" si="2"/>
        <v>8.1087124494659477</v>
      </c>
      <c r="E205" s="43">
        <f t="shared" si="2"/>
        <v>25.99052392180478</v>
      </c>
      <c r="F205" s="43">
        <f t="shared" si="2"/>
        <v>30.007285266085489</v>
      </c>
      <c r="G205" s="43">
        <f t="shared" si="2"/>
        <v>4.724264939083441</v>
      </c>
      <c r="H205" s="43">
        <f t="shared" si="2"/>
        <v>4.6727659429182902</v>
      </c>
      <c r="I205" s="43">
        <f t="shared" si="2"/>
        <v>1.9990139272758585</v>
      </c>
      <c r="J205" s="43">
        <f t="shared" si="2"/>
        <v>6.9</v>
      </c>
      <c r="K205" s="43">
        <f t="shared" si="2"/>
        <v>0</v>
      </c>
    </row>
    <row r="206" spans="1:11" ht="15.75" customHeight="1" thickBot="1" x14ac:dyDescent="0.3">
      <c r="A206" s="40" t="s">
        <v>52</v>
      </c>
      <c r="C206" s="43">
        <f t="shared" ref="C206:K206" si="3">MIN(C2:C201)</f>
        <v>18.726356993262673</v>
      </c>
      <c r="D206" s="43">
        <f t="shared" si="3"/>
        <v>7.7525156369171091</v>
      </c>
      <c r="E206" s="43">
        <f t="shared" si="3"/>
        <v>21.729601542536464</v>
      </c>
      <c r="F206" s="43">
        <f t="shared" si="3"/>
        <v>28.457807686364216</v>
      </c>
      <c r="G206" s="43">
        <f t="shared" si="3"/>
        <v>3.7961877645605862</v>
      </c>
      <c r="H206" s="43">
        <f t="shared" si="3"/>
        <v>4.4602521267032484</v>
      </c>
      <c r="I206" s="43">
        <f t="shared" si="3"/>
        <v>-1.6365105193751912</v>
      </c>
      <c r="J206" s="43">
        <f t="shared" si="3"/>
        <v>0</v>
      </c>
      <c r="K206" s="43">
        <f t="shared" si="3"/>
        <v>0</v>
      </c>
    </row>
    <row r="207" spans="1:11" ht="15.75" customHeight="1" thickBot="1" x14ac:dyDescent="0.3">
      <c r="A207" s="40" t="s">
        <v>53</v>
      </c>
      <c r="C207" s="43">
        <f t="shared" ref="C207:K207" si="4">MAX(C2:C201)</f>
        <v>26.288623527213108</v>
      </c>
      <c r="D207" s="43">
        <f t="shared" si="4"/>
        <v>8.5600610916434139</v>
      </c>
      <c r="E207" s="43">
        <f t="shared" si="4"/>
        <v>27.964847067216819</v>
      </c>
      <c r="F207" s="43">
        <f t="shared" si="4"/>
        <v>30.561884316162729</v>
      </c>
      <c r="G207" s="43">
        <f t="shared" si="4"/>
        <v>5.6848380052180598</v>
      </c>
      <c r="H207" s="43">
        <f t="shared" si="4"/>
        <v>4.8866581142765444</v>
      </c>
      <c r="I207" s="43">
        <f t="shared" si="4"/>
        <v>8.1903594816591916</v>
      </c>
      <c r="J207" s="43">
        <f t="shared" si="4"/>
        <v>16.8</v>
      </c>
      <c r="K207" s="43">
        <f t="shared" si="4"/>
        <v>3</v>
      </c>
    </row>
    <row r="208" spans="1:11" ht="15.75" customHeight="1" x14ac:dyDescent="0.25">
      <c r="C208" s="26"/>
    </row>
    <row r="209" spans="1:3" ht="15.75" customHeight="1" x14ac:dyDescent="0.25">
      <c r="A209" s="25" t="s">
        <v>54</v>
      </c>
      <c r="C209" s="26"/>
    </row>
    <row r="210" spans="1:3" ht="15.75" customHeight="1" x14ac:dyDescent="0.25">
      <c r="A210" s="49"/>
      <c r="C210" s="26"/>
    </row>
    <row r="211" spans="1:3" ht="15.75" customHeight="1" x14ac:dyDescent="0.25">
      <c r="C211" s="26"/>
    </row>
    <row r="212" spans="1:3" ht="15.75" customHeight="1" x14ac:dyDescent="0.25">
      <c r="C212" s="26"/>
    </row>
    <row r="213" spans="1:3" ht="15.75" customHeight="1" x14ac:dyDescent="0.25">
      <c r="C213" s="26"/>
    </row>
    <row r="214" spans="1:3" ht="15.75" customHeight="1" x14ac:dyDescent="0.25">
      <c r="C214" s="26"/>
    </row>
    <row r="215" spans="1:3" ht="15.75" customHeight="1" x14ac:dyDescent="0.25">
      <c r="C215" s="26"/>
    </row>
    <row r="216" spans="1:3" ht="15.75" customHeight="1" x14ac:dyDescent="0.25">
      <c r="C216" s="26"/>
    </row>
    <row r="217" spans="1:3" ht="15.75" customHeight="1" x14ac:dyDescent="0.25">
      <c r="C217" s="26"/>
    </row>
    <row r="218" spans="1:3" ht="15.75" customHeight="1" x14ac:dyDescent="0.25">
      <c r="C218" s="26"/>
    </row>
    <row r="219" spans="1:3" ht="15.75" customHeight="1" x14ac:dyDescent="0.25">
      <c r="C219" s="26"/>
    </row>
    <row r="220" spans="1:3" ht="15.75" customHeight="1" x14ac:dyDescent="0.25">
      <c r="C220" s="26"/>
    </row>
    <row r="221" spans="1:3" ht="15.75" customHeight="1" x14ac:dyDescent="0.25">
      <c r="C221" s="26"/>
    </row>
    <row r="222" spans="1:3" ht="15.75" customHeight="1" x14ac:dyDescent="0.25">
      <c r="C222" s="26"/>
    </row>
    <row r="223" spans="1:3" ht="15.75" customHeight="1" x14ac:dyDescent="0.25">
      <c r="C223" s="26"/>
    </row>
    <row r="224" spans="1:3" ht="15.75" customHeight="1" x14ac:dyDescent="0.25">
      <c r="C224" s="26"/>
    </row>
    <row r="225" spans="3:3" ht="15.75" customHeight="1" x14ac:dyDescent="0.25">
      <c r="C225" s="26"/>
    </row>
    <row r="226" spans="3:3" ht="15.75" customHeight="1" x14ac:dyDescent="0.25">
      <c r="C226" s="26"/>
    </row>
    <row r="227" spans="3:3" ht="15.75" customHeight="1" x14ac:dyDescent="0.25">
      <c r="C227" s="26"/>
    </row>
    <row r="228" spans="3:3" ht="15.75" customHeight="1" x14ac:dyDescent="0.25">
      <c r="C228" s="26"/>
    </row>
    <row r="229" spans="3:3" ht="15.75" customHeight="1" x14ac:dyDescent="0.25">
      <c r="C229" s="26"/>
    </row>
    <row r="230" spans="3:3" ht="15.75" customHeight="1" x14ac:dyDescent="0.25">
      <c r="C230" s="26"/>
    </row>
    <row r="231" spans="3:3" ht="15.75" customHeight="1" x14ac:dyDescent="0.25">
      <c r="C231" s="26"/>
    </row>
    <row r="232" spans="3:3" ht="15.75" customHeight="1" x14ac:dyDescent="0.25">
      <c r="C232" s="26"/>
    </row>
    <row r="233" spans="3:3" ht="15.75" customHeight="1" x14ac:dyDescent="0.25">
      <c r="C233" s="26"/>
    </row>
    <row r="234" spans="3:3" ht="15.75" customHeight="1" x14ac:dyDescent="0.25">
      <c r="C234" s="26"/>
    </row>
    <row r="235" spans="3:3" ht="15.75" customHeight="1" x14ac:dyDescent="0.25">
      <c r="C235" s="26"/>
    </row>
    <row r="236" spans="3:3" ht="15.75" customHeight="1" x14ac:dyDescent="0.25">
      <c r="C236" s="26"/>
    </row>
    <row r="237" spans="3:3" ht="15.75" customHeight="1" x14ac:dyDescent="0.25">
      <c r="C237" s="26"/>
    </row>
    <row r="238" spans="3:3" ht="15.75" customHeight="1" x14ac:dyDescent="0.25">
      <c r="C238" s="26"/>
    </row>
    <row r="239" spans="3:3" ht="15.75" customHeight="1" x14ac:dyDescent="0.25">
      <c r="C239" s="26"/>
    </row>
    <row r="240" spans="3:3" ht="15.75" customHeight="1" x14ac:dyDescent="0.25">
      <c r="C240" s="26"/>
    </row>
    <row r="241" spans="3:3" ht="15.75" customHeight="1" x14ac:dyDescent="0.25">
      <c r="C241" s="26"/>
    </row>
    <row r="242" spans="3:3" ht="15.75" customHeight="1" x14ac:dyDescent="0.25">
      <c r="C242" s="26"/>
    </row>
    <row r="243" spans="3:3" ht="15.75" customHeight="1" x14ac:dyDescent="0.25">
      <c r="C243" s="26"/>
    </row>
    <row r="244" spans="3:3" ht="15.75" customHeight="1" x14ac:dyDescent="0.25">
      <c r="C244" s="26"/>
    </row>
    <row r="245" spans="3:3" ht="15.75" customHeight="1" x14ac:dyDescent="0.25">
      <c r="C245" s="26"/>
    </row>
    <row r="246" spans="3:3" ht="15.75" customHeight="1" x14ac:dyDescent="0.25">
      <c r="C246" s="26"/>
    </row>
    <row r="247" spans="3:3" ht="15.75" customHeight="1" x14ac:dyDescent="0.25">
      <c r="C247" s="26"/>
    </row>
    <row r="248" spans="3:3" ht="15.75" customHeight="1" x14ac:dyDescent="0.25">
      <c r="C248" s="26"/>
    </row>
    <row r="249" spans="3:3" ht="15.75" customHeight="1" x14ac:dyDescent="0.25">
      <c r="C249" s="26"/>
    </row>
    <row r="250" spans="3:3" ht="15.75" customHeight="1" x14ac:dyDescent="0.25">
      <c r="C250" s="26"/>
    </row>
    <row r="251" spans="3:3" ht="15.75" customHeight="1" x14ac:dyDescent="0.25">
      <c r="C251" s="26"/>
    </row>
    <row r="252" spans="3:3" ht="15.75" customHeight="1" x14ac:dyDescent="0.25">
      <c r="C252" s="26"/>
    </row>
    <row r="253" spans="3:3" ht="15.75" customHeight="1" x14ac:dyDescent="0.25">
      <c r="C253" s="26"/>
    </row>
    <row r="254" spans="3:3" ht="15.75" customHeight="1" x14ac:dyDescent="0.25">
      <c r="C254" s="26"/>
    </row>
    <row r="255" spans="3:3" ht="15.75" customHeight="1" x14ac:dyDescent="0.25">
      <c r="C255" s="26"/>
    </row>
    <row r="256" spans="3:3" ht="15.75" customHeight="1" x14ac:dyDescent="0.25">
      <c r="C256" s="26"/>
    </row>
    <row r="257" spans="3:3" ht="15.75" customHeight="1" x14ac:dyDescent="0.25">
      <c r="C257" s="26"/>
    </row>
    <row r="258" spans="3:3" ht="15.75" customHeight="1" x14ac:dyDescent="0.25">
      <c r="C258" s="26"/>
    </row>
    <row r="259" spans="3:3" ht="15.75" customHeight="1" x14ac:dyDescent="0.25">
      <c r="C259" s="26"/>
    </row>
    <row r="260" spans="3:3" ht="15.75" customHeight="1" x14ac:dyDescent="0.25">
      <c r="C260" s="26"/>
    </row>
    <row r="261" spans="3:3" ht="15.75" customHeight="1" x14ac:dyDescent="0.25">
      <c r="C261" s="26"/>
    </row>
    <row r="262" spans="3:3" ht="15.75" customHeight="1" x14ac:dyDescent="0.25">
      <c r="C262" s="26"/>
    </row>
    <row r="263" spans="3:3" ht="15.75" customHeight="1" x14ac:dyDescent="0.25">
      <c r="C263" s="26"/>
    </row>
    <row r="264" spans="3:3" ht="15.75" customHeight="1" x14ac:dyDescent="0.25">
      <c r="C264" s="26"/>
    </row>
    <row r="265" spans="3:3" ht="15.75" customHeight="1" x14ac:dyDescent="0.25">
      <c r="C265" s="26"/>
    </row>
    <row r="266" spans="3:3" ht="15.75" customHeight="1" x14ac:dyDescent="0.25">
      <c r="C266" s="26"/>
    </row>
    <row r="267" spans="3:3" ht="15.75" customHeight="1" x14ac:dyDescent="0.25">
      <c r="C267" s="26"/>
    </row>
    <row r="268" spans="3:3" ht="15.75" customHeight="1" x14ac:dyDescent="0.25">
      <c r="C268" s="26"/>
    </row>
    <row r="269" spans="3:3" ht="15.75" customHeight="1" x14ac:dyDescent="0.25">
      <c r="C269" s="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E5DE-9D8C-4455-8ECD-98577688B3C5}">
  <dimension ref="A1:C221"/>
  <sheetViews>
    <sheetView workbookViewId="0">
      <selection activeCell="C19" sqref="C19:C21"/>
    </sheetView>
  </sheetViews>
  <sheetFormatPr defaultRowHeight="15" x14ac:dyDescent="0.25"/>
  <cols>
    <col min="1" max="1" width="13.28515625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tr">
        <f>'DATA FULL'!A2</f>
        <v>Brunei Darussalam</v>
      </c>
      <c r="B2">
        <f>'DATA FULL'!B2</f>
        <v>2005</v>
      </c>
      <c r="C2" s="34">
        <f>'DATA FULL'!E2</f>
        <v>10547202612.429548</v>
      </c>
    </row>
    <row r="3" spans="1:3" x14ac:dyDescent="0.25">
      <c r="A3" t="str">
        <f>'DATA FULL'!A3</f>
        <v>Brunei Darussalam</v>
      </c>
      <c r="B3">
        <f>'DATA FULL'!B3</f>
        <v>2006</v>
      </c>
      <c r="C3" s="34">
        <f>'DATA FULL'!E3</f>
        <v>12644616446.191816</v>
      </c>
    </row>
    <row r="4" spans="1:3" x14ac:dyDescent="0.25">
      <c r="A4" t="str">
        <f>'DATA FULL'!A4</f>
        <v>Brunei Darussalam</v>
      </c>
      <c r="B4">
        <f>'DATA FULL'!B4</f>
        <v>2007</v>
      </c>
      <c r="C4" s="34">
        <f>'DATA FULL'!E4</f>
        <v>13432029495.678463</v>
      </c>
    </row>
    <row r="5" spans="1:3" x14ac:dyDescent="0.25">
      <c r="A5" t="str">
        <f>'DATA FULL'!A5</f>
        <v>Brunei Darussalam</v>
      </c>
      <c r="B5">
        <f>'DATA FULL'!B5</f>
        <v>2008</v>
      </c>
      <c r="C5" s="34">
        <f>'DATA FULL'!E5</f>
        <v>15926456491.517796</v>
      </c>
    </row>
    <row r="6" spans="1:3" x14ac:dyDescent="0.25">
      <c r="A6" t="str">
        <f>'DATA FULL'!A6</f>
        <v>Brunei Darussalam</v>
      </c>
      <c r="B6">
        <f>'DATA FULL'!B6</f>
        <v>2009</v>
      </c>
      <c r="C6" s="34">
        <f>'DATA FULL'!E6</f>
        <v>11912904529.072184</v>
      </c>
    </row>
    <row r="7" spans="1:3" x14ac:dyDescent="0.25">
      <c r="A7" t="str">
        <f>'DATA FULL'!A7</f>
        <v>Brunei Darussalam</v>
      </c>
      <c r="B7">
        <f>'DATA FULL'!B7</f>
        <v>2010</v>
      </c>
      <c r="C7" s="34">
        <f>'DATA FULL'!E7</f>
        <v>13707121031.255238</v>
      </c>
    </row>
    <row r="8" spans="1:3" x14ac:dyDescent="0.25">
      <c r="A8" t="str">
        <f>'DATA FULL'!A8</f>
        <v>Brunei Darussalam</v>
      </c>
      <c r="B8">
        <f>'DATA FULL'!B8</f>
        <v>2011</v>
      </c>
      <c r="C8" s="34">
        <f>'DATA FULL'!E8</f>
        <v>18524791070.680244</v>
      </c>
    </row>
    <row r="9" spans="1:3" x14ac:dyDescent="0.25">
      <c r="A9" t="str">
        <f>'DATA FULL'!A9</f>
        <v>Brunei Darussalam</v>
      </c>
      <c r="B9">
        <f>'DATA FULL'!B9</f>
        <v>2012</v>
      </c>
      <c r="C9" s="34">
        <f>'DATA FULL'!E9</f>
        <v>19048443339.945675</v>
      </c>
    </row>
    <row r="10" spans="1:3" x14ac:dyDescent="0.25">
      <c r="A10" t="str">
        <f>'DATA FULL'!A10</f>
        <v>Brunei Darussalam</v>
      </c>
      <c r="B10">
        <f>'DATA FULL'!B10</f>
        <v>2013</v>
      </c>
      <c r="C10" s="34">
        <f>'DATA FULL'!E10</f>
        <v>18094148099.492233</v>
      </c>
    </row>
    <row r="11" spans="1:3" x14ac:dyDescent="0.25">
      <c r="A11" t="str">
        <f>'DATA FULL'!A11</f>
        <v>Brunei Darussalam</v>
      </c>
      <c r="B11">
        <f>'DATA FULL'!B11</f>
        <v>2014</v>
      </c>
      <c r="C11" s="34">
        <f>'DATA FULL'!E11</f>
        <v>17097797371.971764</v>
      </c>
    </row>
    <row r="12" spans="1:3" x14ac:dyDescent="0.25">
      <c r="A12" t="str">
        <f>'DATA FULL'!A12</f>
        <v>Brunei Darussalam</v>
      </c>
      <c r="B12">
        <f>'DATA FULL'!B12</f>
        <v>2015</v>
      </c>
      <c r="C12" s="34">
        <f>'DATA FULL'!E12</f>
        <v>12930296852.488197</v>
      </c>
    </row>
    <row r="13" spans="1:3" x14ac:dyDescent="0.25">
      <c r="A13" t="str">
        <f>'DATA FULL'!A13</f>
        <v>Brunei Darussalam</v>
      </c>
      <c r="B13">
        <f>'DATA FULL'!B13</f>
        <v>2016</v>
      </c>
      <c r="C13" s="34">
        <f>'DATA FULL'!E13</f>
        <v>11400266055.323244</v>
      </c>
    </row>
    <row r="14" spans="1:3" x14ac:dyDescent="0.25">
      <c r="A14" t="str">
        <f>'DATA FULL'!A14</f>
        <v>Brunei Darussalam</v>
      </c>
      <c r="B14">
        <f>'DATA FULL'!B14</f>
        <v>2017</v>
      </c>
      <c r="C14" s="34">
        <f>'DATA FULL'!E14</f>
        <v>12128168046.782692</v>
      </c>
    </row>
    <row r="15" spans="1:3" x14ac:dyDescent="0.25">
      <c r="A15" t="str">
        <f>'DATA FULL'!A15</f>
        <v>Brunei Darussalam</v>
      </c>
      <c r="B15">
        <f>'DATA FULL'!B15</f>
        <v>2018</v>
      </c>
      <c r="C15" s="34">
        <f>'DATA FULL'!E15</f>
        <v>13566908401.186434</v>
      </c>
    </row>
    <row r="16" spans="1:3" x14ac:dyDescent="0.25">
      <c r="A16" t="str">
        <f>'DATA FULL'!A16</f>
        <v>Brunei Darussalam</v>
      </c>
      <c r="B16">
        <f>'DATA FULL'!B16</f>
        <v>2019</v>
      </c>
      <c r="C16" s="34">
        <f>'DATA FULL'!E16</f>
        <v>13469235348.221069</v>
      </c>
    </row>
    <row r="17" spans="1:3" x14ac:dyDescent="0.25">
      <c r="A17" t="str">
        <f>'DATA FULL'!A17</f>
        <v>Brunei Darussalam</v>
      </c>
      <c r="B17">
        <f>'DATA FULL'!B17</f>
        <v>2020</v>
      </c>
      <c r="C17" s="34">
        <f>'DATA FULL'!E17</f>
        <v>12005799664.269123</v>
      </c>
    </row>
    <row r="18" spans="1:3" x14ac:dyDescent="0.25">
      <c r="A18" t="str">
        <f>'DATA FULL'!A18</f>
        <v>Brunei Darussalam</v>
      </c>
      <c r="B18">
        <f>'DATA FULL'!B18</f>
        <v>2021</v>
      </c>
      <c r="C18" s="34">
        <f>'DATA FULL'!E18</f>
        <v>14006496614.319468</v>
      </c>
    </row>
    <row r="19" spans="1:3" x14ac:dyDescent="0.25">
      <c r="A19" t="str">
        <f>'DATA FULL'!A19</f>
        <v>Brunei Darussalam</v>
      </c>
      <c r="B19">
        <f>'DATA FULL'!B19</f>
        <v>2022</v>
      </c>
      <c r="C19" s="34">
        <f>'DATA FULL'!E19</f>
        <v>16681536442.549797</v>
      </c>
    </row>
    <row r="20" spans="1:3" x14ac:dyDescent="0.25">
      <c r="A20" t="str">
        <f>'DATA FULL'!A20</f>
        <v>Brunei Darussalam</v>
      </c>
      <c r="B20">
        <f>'DATA FULL'!B20</f>
        <v>2023</v>
      </c>
      <c r="C20" s="34">
        <f>'DATA FULL'!E20</f>
        <v>15095084686.165083</v>
      </c>
    </row>
    <row r="21" spans="1:3" x14ac:dyDescent="0.25">
      <c r="A21" t="str">
        <f>'DATA FULL'!A21</f>
        <v>Brunei Darussalam</v>
      </c>
      <c r="B21">
        <f>'DATA FULL'!B21</f>
        <v>2024</v>
      </c>
      <c r="C21" s="34">
        <f>'DATA FULL'!E21</f>
        <v>15463134387.20129</v>
      </c>
    </row>
    <row r="22" spans="1:3" x14ac:dyDescent="0.25">
      <c r="A22" t="str">
        <f>'DATA FULL'!A22</f>
        <v>Cambodia</v>
      </c>
      <c r="B22">
        <f>'DATA FULL'!B22</f>
        <v>2005</v>
      </c>
      <c r="C22" s="34">
        <f>'DATA FULL'!E22</f>
        <v>8350531016.6575289</v>
      </c>
    </row>
    <row r="23" spans="1:3" x14ac:dyDescent="0.25">
      <c r="A23" t="str">
        <f>'DATA FULL'!A23</f>
        <v>Cambodia</v>
      </c>
      <c r="B23">
        <f>'DATA FULL'!B23</f>
        <v>2006</v>
      </c>
      <c r="C23" s="34">
        <f>'DATA FULL'!E23</f>
        <v>10127916459.89827</v>
      </c>
    </row>
    <row r="24" spans="1:3" x14ac:dyDescent="0.25">
      <c r="A24" t="str">
        <f>'DATA FULL'!A24</f>
        <v>Cambodia</v>
      </c>
      <c r="B24">
        <f>'DATA FULL'!B24</f>
        <v>2007</v>
      </c>
      <c r="C24" s="34">
        <f>'DATA FULL'!E24</f>
        <v>12174303999.081249</v>
      </c>
    </row>
    <row r="25" spans="1:3" x14ac:dyDescent="0.25">
      <c r="A25" t="str">
        <f>'DATA FULL'!A25</f>
        <v>Cambodia</v>
      </c>
      <c r="B25">
        <f>'DATA FULL'!B25</f>
        <v>2008</v>
      </c>
      <c r="C25" s="34">
        <f>'DATA FULL'!E25</f>
        <v>12502901169.737713</v>
      </c>
    </row>
    <row r="26" spans="1:3" x14ac:dyDescent="0.25">
      <c r="A26" t="str">
        <f>'DATA FULL'!A26</f>
        <v>Cambodia</v>
      </c>
      <c r="B26">
        <f>'DATA FULL'!B26</f>
        <v>2009</v>
      </c>
      <c r="C26" s="34">
        <f>'DATA FULL'!E26</f>
        <v>13808673288.069561</v>
      </c>
    </row>
    <row r="27" spans="1:3" x14ac:dyDescent="0.25">
      <c r="A27" t="str">
        <f>'DATA FULL'!A27</f>
        <v>Cambodia</v>
      </c>
      <c r="B27">
        <f>'DATA FULL'!B27</f>
        <v>2010</v>
      </c>
      <c r="C27" s="34">
        <f>'DATA FULL'!E27</f>
        <v>16032622023.826536</v>
      </c>
    </row>
    <row r="28" spans="1:3" x14ac:dyDescent="0.25">
      <c r="A28" t="str">
        <f>'DATA FULL'!A28</f>
        <v>Cambodia</v>
      </c>
      <c r="B28">
        <f>'DATA FULL'!B28</f>
        <v>2011</v>
      </c>
      <c r="C28" s="34">
        <f>'DATA FULL'!E28</f>
        <v>17826536699.801636</v>
      </c>
    </row>
    <row r="29" spans="1:3" x14ac:dyDescent="0.25">
      <c r="A29" t="str">
        <f>'DATA FULL'!A29</f>
        <v>Cambodia</v>
      </c>
      <c r="B29">
        <f>'DATA FULL'!B29</f>
        <v>2012</v>
      </c>
      <c r="C29" s="34">
        <f>'DATA FULL'!E29</f>
        <v>19807135252.864857</v>
      </c>
    </row>
    <row r="30" spans="1:3" x14ac:dyDescent="0.25">
      <c r="A30" t="str">
        <f>'DATA FULL'!A30</f>
        <v>Cambodia</v>
      </c>
      <c r="B30">
        <f>'DATA FULL'!B30</f>
        <v>2013</v>
      </c>
      <c r="C30" s="34">
        <f>'DATA FULL'!E30</f>
        <v>22041463967.900928</v>
      </c>
    </row>
    <row r="31" spans="1:3" x14ac:dyDescent="0.25">
      <c r="A31" t="str">
        <f>'DATA FULL'!A31</f>
        <v>Cambodia</v>
      </c>
      <c r="B31">
        <f>'DATA FULL'!B31</f>
        <v>2014</v>
      </c>
      <c r="C31" s="34">
        <f>'DATA FULL'!E31</f>
        <v>24174170369.073811</v>
      </c>
    </row>
    <row r="32" spans="1:3" x14ac:dyDescent="0.25">
      <c r="A32" t="str">
        <f>'DATA FULL'!A32</f>
        <v>Cambodia</v>
      </c>
      <c r="B32">
        <f>'DATA FULL'!B32</f>
        <v>2015</v>
      </c>
      <c r="C32" s="34">
        <f>'DATA FULL'!E32</f>
        <v>26556545153.3573</v>
      </c>
    </row>
    <row r="33" spans="1:3" x14ac:dyDescent="0.25">
      <c r="A33" t="str">
        <f>'DATA FULL'!A33</f>
        <v>Cambodia</v>
      </c>
      <c r="B33">
        <f>'DATA FULL'!B33</f>
        <v>2016</v>
      </c>
      <c r="C33" s="34">
        <f>'DATA FULL'!E33</f>
        <v>29355665909.790527</v>
      </c>
    </row>
    <row r="34" spans="1:3" x14ac:dyDescent="0.25">
      <c r="A34" t="str">
        <f>'DATA FULL'!A34</f>
        <v>Cambodia</v>
      </c>
      <c r="B34">
        <f>'DATA FULL'!B34</f>
        <v>2017</v>
      </c>
      <c r="C34" s="34">
        <f>'DATA FULL'!E34</f>
        <v>33145892168.895828</v>
      </c>
    </row>
    <row r="35" spans="1:3" x14ac:dyDescent="0.25">
      <c r="A35" t="str">
        <f>'DATA FULL'!A35</f>
        <v>Cambodia</v>
      </c>
      <c r="B35">
        <f>'DATA FULL'!B35</f>
        <v>2018</v>
      </c>
      <c r="C35" s="34">
        <f>'DATA FULL'!E35</f>
        <v>36685356407.720619</v>
      </c>
    </row>
    <row r="36" spans="1:3" x14ac:dyDescent="0.25">
      <c r="A36" t="str">
        <f>'DATA FULL'!A36</f>
        <v>Cambodia</v>
      </c>
      <c r="B36">
        <f>'DATA FULL'!B36</f>
        <v>2019</v>
      </c>
      <c r="C36" s="34">
        <f>'DATA FULL'!E36</f>
        <v>34818073901.485085</v>
      </c>
    </row>
    <row r="37" spans="1:3" x14ac:dyDescent="0.25">
      <c r="A37" t="str">
        <f>'DATA FULL'!A37</f>
        <v>Cambodia</v>
      </c>
      <c r="B37">
        <f>'DATA FULL'!B37</f>
        <v>2020</v>
      </c>
      <c r="C37" s="34">
        <f>'DATA FULL'!E37</f>
        <v>36790163687.442055</v>
      </c>
    </row>
    <row r="38" spans="1:3" x14ac:dyDescent="0.25">
      <c r="A38" t="str">
        <f>'DATA FULL'!A38</f>
        <v>Cambodia</v>
      </c>
      <c r="B38">
        <f>'DATA FULL'!B38</f>
        <v>2021</v>
      </c>
      <c r="C38" s="34">
        <f>'DATA FULL'!E38</f>
        <v>39994532959.607384</v>
      </c>
    </row>
    <row r="39" spans="1:3" x14ac:dyDescent="0.25">
      <c r="A39" t="str">
        <f>'DATA FULL'!A39</f>
        <v>Cambodia</v>
      </c>
      <c r="B39">
        <f>'DATA FULL'!B39</f>
        <v>2022</v>
      </c>
      <c r="C39" s="34">
        <f>'DATA FULL'!E39</f>
        <v>29504829319.316875</v>
      </c>
    </row>
    <row r="40" spans="1:3" x14ac:dyDescent="0.25">
      <c r="A40" t="str">
        <f>'DATA FULL'!A40</f>
        <v>Cambodia</v>
      </c>
      <c r="B40">
        <f>'DATA FULL'!B40</f>
        <v>2023</v>
      </c>
      <c r="C40" s="34">
        <f>'DATA FULL'!E40</f>
        <v>42335646895.798386</v>
      </c>
    </row>
    <row r="41" spans="1:3" x14ac:dyDescent="0.25">
      <c r="A41" t="str">
        <f>'DATA FULL'!A41</f>
        <v>Cambodia</v>
      </c>
      <c r="B41">
        <f>'DATA FULL'!B41</f>
        <v>2024</v>
      </c>
      <c r="C41" s="34">
        <f>'DATA FULL'!E41</f>
        <v>46352647034.777466</v>
      </c>
    </row>
    <row r="42" spans="1:3" x14ac:dyDescent="0.25">
      <c r="A42" t="str">
        <f>'DATA FULL'!A42</f>
        <v>Indonesia</v>
      </c>
      <c r="B42">
        <f>'DATA FULL'!B42</f>
        <v>2005</v>
      </c>
      <c r="C42" s="34">
        <f>'DATA FULL'!E42</f>
        <v>285868619196.08478</v>
      </c>
    </row>
    <row r="43" spans="1:3" x14ac:dyDescent="0.25">
      <c r="A43" t="str">
        <f>'DATA FULL'!A43</f>
        <v>Indonesia</v>
      </c>
      <c r="B43">
        <f>'DATA FULL'!B43</f>
        <v>2006</v>
      </c>
      <c r="C43" s="34">
        <f>'DATA FULL'!E43</f>
        <v>364570515618.35693</v>
      </c>
    </row>
    <row r="44" spans="1:3" x14ac:dyDescent="0.25">
      <c r="A44" t="str">
        <f>'DATA FULL'!A44</f>
        <v>Indonesia</v>
      </c>
      <c r="B44">
        <f>'DATA FULL'!B44</f>
        <v>2007</v>
      </c>
      <c r="C44" s="34">
        <f>'DATA FULL'!E44</f>
        <v>432216737774.86053</v>
      </c>
    </row>
    <row r="45" spans="1:3" x14ac:dyDescent="0.25">
      <c r="A45" t="str">
        <f>'DATA FULL'!A45</f>
        <v>Indonesia</v>
      </c>
      <c r="B45">
        <f>'DATA FULL'!B45</f>
        <v>2008</v>
      </c>
      <c r="C45" s="34">
        <f>'DATA FULL'!E45</f>
        <v>510228634992.25824</v>
      </c>
    </row>
    <row r="46" spans="1:3" x14ac:dyDescent="0.25">
      <c r="A46" t="str">
        <f>'DATA FULL'!A46</f>
        <v>Indonesia</v>
      </c>
      <c r="B46">
        <f>'DATA FULL'!B46</f>
        <v>2009</v>
      </c>
      <c r="C46" s="34">
        <f>'DATA FULL'!E46</f>
        <v>539580085612.40143</v>
      </c>
    </row>
    <row r="47" spans="1:3" x14ac:dyDescent="0.25">
      <c r="A47" t="str">
        <f>'DATA FULL'!A47</f>
        <v>Indonesia</v>
      </c>
      <c r="B47">
        <f>'DATA FULL'!B47</f>
        <v>2010</v>
      </c>
      <c r="C47" s="34">
        <f>'DATA FULL'!E47</f>
        <v>755094157621.93555</v>
      </c>
    </row>
    <row r="48" spans="1:3" x14ac:dyDescent="0.25">
      <c r="A48" t="str">
        <f>'DATA FULL'!A48</f>
        <v>Indonesia</v>
      </c>
      <c r="B48">
        <f>'DATA FULL'!B48</f>
        <v>2011</v>
      </c>
      <c r="C48" s="34">
        <f>'DATA FULL'!E48</f>
        <v>892969104563.17126</v>
      </c>
    </row>
    <row r="49" spans="1:3" x14ac:dyDescent="0.25">
      <c r="A49" t="str">
        <f>'DATA FULL'!A49</f>
        <v>Indonesia</v>
      </c>
      <c r="B49">
        <f>'DATA FULL'!B49</f>
        <v>2012</v>
      </c>
      <c r="C49" s="34">
        <f>'DATA FULL'!E49</f>
        <v>917869913332.64856</v>
      </c>
    </row>
    <row r="50" spans="1:3" x14ac:dyDescent="0.25">
      <c r="A50" t="str">
        <f>'DATA FULL'!A50</f>
        <v>Indonesia</v>
      </c>
      <c r="B50">
        <f>'DATA FULL'!B50</f>
        <v>2013</v>
      </c>
      <c r="C50" s="34">
        <f>'DATA FULL'!E50</f>
        <v>912524136718.01819</v>
      </c>
    </row>
    <row r="51" spans="1:3" x14ac:dyDescent="0.25">
      <c r="A51" t="str">
        <f>'DATA FULL'!A51</f>
        <v>Indonesia</v>
      </c>
      <c r="B51">
        <f>'DATA FULL'!B51</f>
        <v>2014</v>
      </c>
      <c r="C51" s="34">
        <f>'DATA FULL'!E51</f>
        <v>890814755533.53687</v>
      </c>
    </row>
    <row r="52" spans="1:3" x14ac:dyDescent="0.25">
      <c r="A52" t="str">
        <f>'DATA FULL'!A52</f>
        <v>Indonesia</v>
      </c>
      <c r="B52">
        <f>'DATA FULL'!B52</f>
        <v>2015</v>
      </c>
      <c r="C52" s="34">
        <f>'DATA FULL'!E52</f>
        <v>860854232686.21387</v>
      </c>
    </row>
    <row r="53" spans="1:3" x14ac:dyDescent="0.25">
      <c r="A53" t="str">
        <f>'DATA FULL'!A53</f>
        <v>Indonesia</v>
      </c>
      <c r="B53">
        <f>'DATA FULL'!B53</f>
        <v>2016</v>
      </c>
      <c r="C53" s="34">
        <f>'DATA FULL'!E53</f>
        <v>931877364037.69751</v>
      </c>
    </row>
    <row r="54" spans="1:3" x14ac:dyDescent="0.25">
      <c r="A54" t="str">
        <f>'DATA FULL'!A54</f>
        <v>Indonesia</v>
      </c>
      <c r="B54">
        <f>'DATA FULL'!B54</f>
        <v>2017</v>
      </c>
      <c r="C54" s="34">
        <f>'DATA FULL'!E54</f>
        <v>1015618744159.7339</v>
      </c>
    </row>
    <row r="55" spans="1:3" x14ac:dyDescent="0.25">
      <c r="A55" t="str">
        <f>'DATA FULL'!A55</f>
        <v>Indonesia</v>
      </c>
      <c r="B55">
        <f>'DATA FULL'!B55</f>
        <v>2018</v>
      </c>
      <c r="C55" s="34">
        <f>'DATA FULL'!E55</f>
        <v>1042271532988.6317</v>
      </c>
    </row>
    <row r="56" spans="1:3" x14ac:dyDescent="0.25">
      <c r="A56" t="str">
        <f>'DATA FULL'!A56</f>
        <v>Indonesia</v>
      </c>
      <c r="B56">
        <f>'DATA FULL'!B56</f>
        <v>2019</v>
      </c>
      <c r="C56" s="34">
        <f>'DATA FULL'!E56</f>
        <v>1119099871350.1992</v>
      </c>
    </row>
    <row r="57" spans="1:3" x14ac:dyDescent="0.25">
      <c r="A57" t="str">
        <f>'DATA FULL'!A57</f>
        <v>Indonesia</v>
      </c>
      <c r="B57">
        <f>'DATA FULL'!B57</f>
        <v>2020</v>
      </c>
      <c r="C57" s="34">
        <f>'DATA FULL'!E57</f>
        <v>1059054842698.4821</v>
      </c>
    </row>
    <row r="58" spans="1:3" x14ac:dyDescent="0.25">
      <c r="A58" t="str">
        <f>'DATA FULL'!A58</f>
        <v>Indonesia</v>
      </c>
      <c r="B58">
        <f>'DATA FULL'!B58</f>
        <v>2021</v>
      </c>
      <c r="C58" s="34">
        <f>'DATA FULL'!E58</f>
        <v>1186509691086.7307</v>
      </c>
    </row>
    <row r="59" spans="1:3" x14ac:dyDescent="0.25">
      <c r="A59" t="str">
        <f>'DATA FULL'!A59</f>
        <v>Indonesia</v>
      </c>
      <c r="B59">
        <f>'DATA FULL'!B59</f>
        <v>2022</v>
      </c>
      <c r="C59" s="34">
        <f>'DATA FULL'!E59</f>
        <v>1319101183380.1516</v>
      </c>
    </row>
    <row r="60" spans="1:3" x14ac:dyDescent="0.25">
      <c r="A60" t="str">
        <f>'DATA FULL'!A60</f>
        <v>Indonesia</v>
      </c>
      <c r="B60">
        <f>'DATA FULL'!B60</f>
        <v>2023</v>
      </c>
      <c r="C60" s="34">
        <f>'DATA FULL'!E60</f>
        <v>1371169301563.6216</v>
      </c>
    </row>
    <row r="61" spans="1:3" x14ac:dyDescent="0.25">
      <c r="A61" t="str">
        <f>'DATA FULL'!A61</f>
        <v>Indonesia</v>
      </c>
      <c r="B61">
        <f>'DATA FULL'!B61</f>
        <v>2024</v>
      </c>
      <c r="C61" s="34">
        <f>'DATA FULL'!E61</f>
        <v>1396300098190.9734</v>
      </c>
    </row>
    <row r="62" spans="1:3" x14ac:dyDescent="0.25">
      <c r="A62" t="str">
        <f>'DATA FULL'!A62</f>
        <v>Lao PDR</v>
      </c>
      <c r="B62">
        <f>'DATA FULL'!B62</f>
        <v>2005</v>
      </c>
      <c r="C62" s="34">
        <f>'DATA FULL'!E62</f>
        <v>2735558734.7379031</v>
      </c>
    </row>
    <row r="63" spans="1:3" x14ac:dyDescent="0.25">
      <c r="A63" t="str">
        <f>'DATA FULL'!A63</f>
        <v>Lao PDR</v>
      </c>
      <c r="B63">
        <f>'DATA FULL'!B63</f>
        <v>2006</v>
      </c>
      <c r="C63" s="34">
        <f>'DATA FULL'!E63</f>
        <v>3455030060.978498</v>
      </c>
    </row>
    <row r="64" spans="1:3" x14ac:dyDescent="0.25">
      <c r="A64" t="str">
        <f>'DATA FULL'!A64</f>
        <v>Lao PDR</v>
      </c>
      <c r="B64">
        <f>'DATA FULL'!B64</f>
        <v>2007</v>
      </c>
      <c r="C64" s="34">
        <f>'DATA FULL'!E64</f>
        <v>4223152739.0405164</v>
      </c>
    </row>
    <row r="65" spans="1:3" x14ac:dyDescent="0.25">
      <c r="A65" t="str">
        <f>'DATA FULL'!A65</f>
        <v>Lao PDR</v>
      </c>
      <c r="B65">
        <f>'DATA FULL'!B65</f>
        <v>2008</v>
      </c>
      <c r="C65" s="34">
        <f>'DATA FULL'!E65</f>
        <v>5446433157.4011383</v>
      </c>
    </row>
    <row r="66" spans="1:3" x14ac:dyDescent="0.25">
      <c r="A66" t="str">
        <f>'DATA FULL'!A66</f>
        <v>Lao PDR</v>
      </c>
      <c r="B66">
        <f>'DATA FULL'!B66</f>
        <v>2009</v>
      </c>
      <c r="C66" s="34">
        <f>'DATA FULL'!E66</f>
        <v>5836137329.6330538</v>
      </c>
    </row>
    <row r="67" spans="1:3" x14ac:dyDescent="0.25">
      <c r="A67" t="str">
        <f>'DATA FULL'!A67</f>
        <v>Lao PDR</v>
      </c>
      <c r="B67">
        <f>'DATA FULL'!B67</f>
        <v>2010</v>
      </c>
      <c r="C67" s="34">
        <f>'DATA FULL'!E67</f>
        <v>7131771014.7045641</v>
      </c>
    </row>
    <row r="68" spans="1:3" x14ac:dyDescent="0.25">
      <c r="A68" t="str">
        <f>'DATA FULL'!A68</f>
        <v>Lao PDR</v>
      </c>
      <c r="B68">
        <f>'DATA FULL'!B68</f>
        <v>2011</v>
      </c>
      <c r="C68" s="34">
        <f>'DATA FULL'!E68</f>
        <v>8750104617.1730289</v>
      </c>
    </row>
    <row r="69" spans="1:3" x14ac:dyDescent="0.25">
      <c r="A69" t="str">
        <f>'DATA FULL'!A69</f>
        <v>Lao PDR</v>
      </c>
      <c r="B69">
        <f>'DATA FULL'!B69</f>
        <v>2012</v>
      </c>
      <c r="C69" s="34">
        <f>'DATA FULL'!E69</f>
        <v>10192846339.40287</v>
      </c>
    </row>
    <row r="70" spans="1:3" x14ac:dyDescent="0.25">
      <c r="A70" t="str">
        <f>'DATA FULL'!A70</f>
        <v>Lao PDR</v>
      </c>
      <c r="B70">
        <f>'DATA FULL'!B70</f>
        <v>2013</v>
      </c>
      <c r="C70" s="34">
        <f>'DATA FULL'!E70</f>
        <v>11983252626.545183</v>
      </c>
    </row>
    <row r="71" spans="1:3" x14ac:dyDescent="0.25">
      <c r="A71" t="str">
        <f>'DATA FULL'!A71</f>
        <v>Lao PDR</v>
      </c>
      <c r="B71">
        <f>'DATA FULL'!B71</f>
        <v>2014</v>
      </c>
      <c r="C71" s="34">
        <f>'DATA FULL'!E71</f>
        <v>13279245886.385435</v>
      </c>
    </row>
    <row r="72" spans="1:3" x14ac:dyDescent="0.25">
      <c r="A72" t="str">
        <f>'DATA FULL'!A72</f>
        <v>Lao PDR</v>
      </c>
      <c r="B72">
        <f>'DATA FULL'!B72</f>
        <v>2015</v>
      </c>
      <c r="C72" s="34">
        <f>'DATA FULL'!E72</f>
        <v>14426380125.648829</v>
      </c>
    </row>
    <row r="73" spans="1:3" x14ac:dyDescent="0.25">
      <c r="A73" t="str">
        <f>'DATA FULL'!A73</f>
        <v>Lao PDR</v>
      </c>
      <c r="B73">
        <f>'DATA FULL'!B73</f>
        <v>2016</v>
      </c>
      <c r="C73" s="34">
        <f>'DATA FULL'!E73</f>
        <v>15912501722.614256</v>
      </c>
    </row>
    <row r="74" spans="1:3" x14ac:dyDescent="0.25">
      <c r="A74" t="str">
        <f>'DATA FULL'!A74</f>
        <v>Lao PDR</v>
      </c>
      <c r="B74">
        <f>'DATA FULL'!B74</f>
        <v>2017</v>
      </c>
      <c r="C74" s="34">
        <f>'DATA FULL'!E74</f>
        <v>17071155481.499359</v>
      </c>
    </row>
    <row r="75" spans="1:3" x14ac:dyDescent="0.25">
      <c r="A75" t="str">
        <f>'DATA FULL'!A75</f>
        <v>Lao PDR</v>
      </c>
      <c r="B75">
        <f>'DATA FULL'!B75</f>
        <v>2018</v>
      </c>
      <c r="C75" s="34">
        <f>'DATA FULL'!E75</f>
        <v>18141641089.796326</v>
      </c>
    </row>
    <row r="76" spans="1:3" x14ac:dyDescent="0.25">
      <c r="A76" t="str">
        <f>'DATA FULL'!A76</f>
        <v>Lao PDR</v>
      </c>
      <c r="B76">
        <f>'DATA FULL'!B76</f>
        <v>2019</v>
      </c>
      <c r="C76" s="34">
        <f>'DATA FULL'!E76</f>
        <v>18740561512.555496</v>
      </c>
    </row>
    <row r="77" spans="1:3" x14ac:dyDescent="0.25">
      <c r="A77" t="str">
        <f>'DATA FULL'!A77</f>
        <v>Lao PDR</v>
      </c>
      <c r="B77">
        <f>'DATA FULL'!B77</f>
        <v>2020</v>
      </c>
      <c r="C77" s="34">
        <f>'DATA FULL'!E77</f>
        <v>18981805250.242397</v>
      </c>
    </row>
    <row r="78" spans="1:3" x14ac:dyDescent="0.25">
      <c r="A78" t="str">
        <f>'DATA FULL'!A78</f>
        <v>Lao PDR</v>
      </c>
      <c r="B78">
        <f>'DATA FULL'!B78</f>
        <v>2021</v>
      </c>
      <c r="C78" s="34">
        <f>'DATA FULL'!E78</f>
        <v>18827148530.934723</v>
      </c>
    </row>
    <row r="79" spans="1:3" x14ac:dyDescent="0.25">
      <c r="A79" t="str">
        <f>'DATA FULL'!A79</f>
        <v>Lao PDR</v>
      </c>
      <c r="B79">
        <f>'DATA FULL'!B79</f>
        <v>2022</v>
      </c>
      <c r="C79" s="34">
        <f>'DATA FULL'!E79</f>
        <v>15468785203.753174</v>
      </c>
    </row>
    <row r="80" spans="1:3" x14ac:dyDescent="0.25">
      <c r="A80" t="str">
        <f>'DATA FULL'!A80</f>
        <v>Lao PDR</v>
      </c>
      <c r="B80">
        <f>'DATA FULL'!B80</f>
        <v>2023</v>
      </c>
      <c r="C80" s="34">
        <f>'DATA FULL'!E80</f>
        <v>15843155731.25518</v>
      </c>
    </row>
    <row r="81" spans="1:3" x14ac:dyDescent="0.25">
      <c r="A81" t="str">
        <f>'DATA FULL'!A81</f>
        <v>Lao PDR</v>
      </c>
      <c r="B81">
        <f>'DATA FULL'!B81</f>
        <v>2024</v>
      </c>
      <c r="C81" s="34">
        <f>'DATA FULL'!E81</f>
        <v>16502933121.080585</v>
      </c>
    </row>
    <row r="82" spans="1:3" x14ac:dyDescent="0.25">
      <c r="A82" t="str">
        <f>'DATA FULL'!A82</f>
        <v>Malaysia</v>
      </c>
      <c r="B82">
        <f>'DATA FULL'!B82</f>
        <v>2005</v>
      </c>
      <c r="C82" s="34">
        <f>'DATA FULL'!E82</f>
        <v>143534405818.50137</v>
      </c>
    </row>
    <row r="83" spans="1:3" x14ac:dyDescent="0.25">
      <c r="A83" t="str">
        <f>'DATA FULL'!A83</f>
        <v>Malaysia</v>
      </c>
      <c r="B83">
        <f>'DATA FULL'!B83</f>
        <v>2006</v>
      </c>
      <c r="C83" s="34">
        <f>'DATA FULL'!E83</f>
        <v>162692258307.05551</v>
      </c>
    </row>
    <row r="84" spans="1:3" x14ac:dyDescent="0.25">
      <c r="A84" t="str">
        <f>'DATA FULL'!A84</f>
        <v>Malaysia</v>
      </c>
      <c r="B84">
        <f>'DATA FULL'!B84</f>
        <v>2007</v>
      </c>
      <c r="C84" s="34">
        <f>'DATA FULL'!E84</f>
        <v>193549569477.73267</v>
      </c>
    </row>
    <row r="85" spans="1:3" x14ac:dyDescent="0.25">
      <c r="A85" t="str">
        <f>'DATA FULL'!A85</f>
        <v>Malaysia</v>
      </c>
      <c r="B85">
        <f>'DATA FULL'!B85</f>
        <v>2008</v>
      </c>
      <c r="C85" s="34">
        <f>'DATA FULL'!E85</f>
        <v>230811614370.38364</v>
      </c>
    </row>
    <row r="86" spans="1:3" x14ac:dyDescent="0.25">
      <c r="A86" t="str">
        <f>'DATA FULL'!A86</f>
        <v>Malaysia</v>
      </c>
      <c r="B86">
        <f>'DATA FULL'!B86</f>
        <v>2009</v>
      </c>
      <c r="C86" s="34">
        <f>'DATA FULL'!E86</f>
        <v>202257453036.6409</v>
      </c>
    </row>
    <row r="87" spans="1:3" x14ac:dyDescent="0.25">
      <c r="A87" t="str">
        <f>'DATA FULL'!A87</f>
        <v>Malaysia</v>
      </c>
      <c r="B87">
        <f>'DATA FULL'!B87</f>
        <v>2010</v>
      </c>
      <c r="C87" s="34">
        <f>'DATA FULL'!E87</f>
        <v>255017638455.58969</v>
      </c>
    </row>
    <row r="88" spans="1:3" x14ac:dyDescent="0.25">
      <c r="A88" t="str">
        <f>'DATA FULL'!A88</f>
        <v>Malaysia</v>
      </c>
      <c r="B88">
        <f>'DATA FULL'!B88</f>
        <v>2011</v>
      </c>
      <c r="C88" s="34">
        <f>'DATA FULL'!E88</f>
        <v>297951668674.83466</v>
      </c>
    </row>
    <row r="89" spans="1:3" x14ac:dyDescent="0.25">
      <c r="A89" t="str">
        <f>'DATA FULL'!A89</f>
        <v>Malaysia</v>
      </c>
      <c r="B89">
        <f>'DATA FULL'!B89</f>
        <v>2012</v>
      </c>
      <c r="C89" s="34">
        <f>'DATA FULL'!E89</f>
        <v>314443047642.11096</v>
      </c>
    </row>
    <row r="90" spans="1:3" x14ac:dyDescent="0.25">
      <c r="A90" t="str">
        <f>'DATA FULL'!A90</f>
        <v>Malaysia</v>
      </c>
      <c r="B90">
        <f>'DATA FULL'!B90</f>
        <v>2013</v>
      </c>
      <c r="C90" s="34">
        <f>'DATA FULL'!E90</f>
        <v>323276235524.41534</v>
      </c>
    </row>
    <row r="91" spans="1:3" x14ac:dyDescent="0.25">
      <c r="A91" t="str">
        <f>'DATA FULL'!A91</f>
        <v>Malaysia</v>
      </c>
      <c r="B91">
        <f>'DATA FULL'!B91</f>
        <v>2014</v>
      </c>
      <c r="C91" s="34">
        <f>'DATA FULL'!E91</f>
        <v>338066095097.25439</v>
      </c>
    </row>
    <row r="92" spans="1:3" x14ac:dyDescent="0.25">
      <c r="A92" t="str">
        <f>'DATA FULL'!A92</f>
        <v>Malaysia</v>
      </c>
      <c r="B92">
        <f>'DATA FULL'!B92</f>
        <v>2015</v>
      </c>
      <c r="C92" s="34">
        <f>'DATA FULL'!E92</f>
        <v>301355266964.94733</v>
      </c>
    </row>
    <row r="93" spans="1:3" x14ac:dyDescent="0.25">
      <c r="A93" t="str">
        <f>'DATA FULL'!A93</f>
        <v>Malaysia</v>
      </c>
      <c r="B93">
        <f>'DATA FULL'!B93</f>
        <v>2016</v>
      </c>
      <c r="C93" s="34">
        <f>'DATA FULL'!E93</f>
        <v>301256033870.33356</v>
      </c>
    </row>
    <row r="94" spans="1:3" x14ac:dyDescent="0.25">
      <c r="A94" t="str">
        <f>'DATA FULL'!A94</f>
        <v>Malaysia</v>
      </c>
      <c r="B94">
        <f>'DATA FULL'!B94</f>
        <v>2017</v>
      </c>
      <c r="C94" s="34">
        <f>'DATA FULL'!E94</f>
        <v>319109094160.34308</v>
      </c>
    </row>
    <row r="95" spans="1:3" x14ac:dyDescent="0.25">
      <c r="A95" t="str">
        <f>'DATA FULL'!A95</f>
        <v>Malaysia</v>
      </c>
      <c r="B95">
        <f>'DATA FULL'!B95</f>
        <v>2018</v>
      </c>
      <c r="C95" s="34">
        <f>'DATA FULL'!E95</f>
        <v>358788845712.52972</v>
      </c>
    </row>
    <row r="96" spans="1:3" x14ac:dyDescent="0.25">
      <c r="A96" t="str">
        <f>'DATA FULL'!A96</f>
        <v>Malaysia</v>
      </c>
      <c r="B96">
        <f>'DATA FULL'!B96</f>
        <v>2019</v>
      </c>
      <c r="C96" s="34">
        <f>'DATA FULL'!E96</f>
        <v>365177721021.51611</v>
      </c>
    </row>
    <row r="97" spans="1:3" x14ac:dyDescent="0.25">
      <c r="A97" t="str">
        <f>'DATA FULL'!A97</f>
        <v>Malaysia</v>
      </c>
      <c r="B97">
        <f>'DATA FULL'!B97</f>
        <v>2020</v>
      </c>
      <c r="C97" s="34">
        <f>'DATA FULL'!E97</f>
        <v>337456163961.21118</v>
      </c>
    </row>
    <row r="98" spans="1:3" x14ac:dyDescent="0.25">
      <c r="A98" t="str">
        <f>'DATA FULL'!A98</f>
        <v>Malaysia</v>
      </c>
      <c r="B98">
        <f>'DATA FULL'!B98</f>
        <v>2021</v>
      </c>
      <c r="C98" s="34">
        <f>'DATA FULL'!E98</f>
        <v>373784823672.94629</v>
      </c>
    </row>
    <row r="99" spans="1:3" x14ac:dyDescent="0.25">
      <c r="A99" t="str">
        <f>'DATA FULL'!A99</f>
        <v>Malaysia</v>
      </c>
      <c r="B99">
        <f>'DATA FULL'!B99</f>
        <v>2022</v>
      </c>
      <c r="C99" s="34">
        <f>'DATA FULL'!E99</f>
        <v>407605841348.2348</v>
      </c>
    </row>
    <row r="100" spans="1:3" x14ac:dyDescent="0.25">
      <c r="A100" t="str">
        <f>'DATA FULL'!A100</f>
        <v>Malaysia</v>
      </c>
      <c r="B100">
        <f>'DATA FULL'!B100</f>
        <v>2023</v>
      </c>
      <c r="C100" s="34">
        <f>'DATA FULL'!E100</f>
        <v>399705137434.07428</v>
      </c>
    </row>
    <row r="101" spans="1:3" x14ac:dyDescent="0.25">
      <c r="A101" t="str">
        <f>'DATA FULL'!A101</f>
        <v>Malaysia</v>
      </c>
      <c r="B101">
        <f>'DATA FULL'!B101</f>
        <v>2024</v>
      </c>
      <c r="C101" s="34">
        <f>'DATA FULL'!E101</f>
        <v>421972102253.57031</v>
      </c>
    </row>
    <row r="102" spans="1:3" x14ac:dyDescent="0.25">
      <c r="A102" t="str">
        <f>'DATA FULL'!A102</f>
        <v>Myanmar</v>
      </c>
      <c r="B102">
        <f>'DATA FULL'!B102</f>
        <v>2005</v>
      </c>
      <c r="C102" s="34">
        <f>'DATA FULL'!E102</f>
        <v>11986972418.5103</v>
      </c>
    </row>
    <row r="103" spans="1:3" x14ac:dyDescent="0.25">
      <c r="A103" t="str">
        <f>'DATA FULL'!A103</f>
        <v>Myanmar</v>
      </c>
      <c r="B103">
        <f>'DATA FULL'!B103</f>
        <v>2006</v>
      </c>
      <c r="C103" s="34">
        <f>'DATA FULL'!E103</f>
        <v>14502553709.830305</v>
      </c>
    </row>
    <row r="104" spans="1:3" x14ac:dyDescent="0.25">
      <c r="A104" t="str">
        <f>'DATA FULL'!A104</f>
        <v>Myanmar</v>
      </c>
      <c r="B104">
        <f>'DATA FULL'!B104</f>
        <v>2007</v>
      </c>
      <c r="C104" s="34">
        <f>'DATA FULL'!E104</f>
        <v>20182477480.551235</v>
      </c>
    </row>
    <row r="105" spans="1:3" x14ac:dyDescent="0.25">
      <c r="A105" t="str">
        <f>'DATA FULL'!A105</f>
        <v>Myanmar</v>
      </c>
      <c r="B105">
        <f>'DATA FULL'!B105</f>
        <v>2008</v>
      </c>
      <c r="C105" s="34">
        <f>'DATA FULL'!E105</f>
        <v>31862554101.937805</v>
      </c>
    </row>
    <row r="106" spans="1:3" x14ac:dyDescent="0.25">
      <c r="A106" t="str">
        <f>'DATA FULL'!A106</f>
        <v>Myanmar</v>
      </c>
      <c r="B106">
        <f>'DATA FULL'!B106</f>
        <v>2009</v>
      </c>
      <c r="C106" s="34">
        <f>'DATA FULL'!E106</f>
        <v>36906181380.812683</v>
      </c>
    </row>
    <row r="107" spans="1:3" x14ac:dyDescent="0.25">
      <c r="A107" t="str">
        <f>'DATA FULL'!A107</f>
        <v>Myanmar</v>
      </c>
      <c r="B107">
        <f>'DATA FULL'!B107</f>
        <v>2010</v>
      </c>
      <c r="C107" s="34">
        <f>'DATA FULL'!E107</f>
        <v>49540813342.483398</v>
      </c>
    </row>
    <row r="108" spans="1:3" x14ac:dyDescent="0.25">
      <c r="A108" t="str">
        <f>'DATA FULL'!A108</f>
        <v>Myanmar</v>
      </c>
      <c r="B108">
        <f>'DATA FULL'!B108</f>
        <v>2011</v>
      </c>
      <c r="C108" s="34">
        <f>'DATA FULL'!E108</f>
        <v>59977326085.990768</v>
      </c>
    </row>
    <row r="109" spans="1:3" x14ac:dyDescent="0.25">
      <c r="A109" t="str">
        <f>'DATA FULL'!A109</f>
        <v>Myanmar</v>
      </c>
      <c r="B109">
        <f>'DATA FULL'!B109</f>
        <v>2012</v>
      </c>
      <c r="C109" s="34">
        <f>'DATA FULL'!E109</f>
        <v>59937796648.215759</v>
      </c>
    </row>
    <row r="110" spans="1:3" x14ac:dyDescent="0.25">
      <c r="A110" t="str">
        <f>'DATA FULL'!A110</f>
        <v>Myanmar</v>
      </c>
      <c r="B110">
        <f>'DATA FULL'!B110</f>
        <v>2013</v>
      </c>
      <c r="C110" s="34">
        <f>'DATA FULL'!E110</f>
        <v>60269732854.827026</v>
      </c>
    </row>
    <row r="111" spans="1:3" x14ac:dyDescent="0.25">
      <c r="A111" t="str">
        <f>'DATA FULL'!A111</f>
        <v>Myanmar</v>
      </c>
      <c r="B111">
        <f>'DATA FULL'!B111</f>
        <v>2014</v>
      </c>
      <c r="C111" s="34">
        <f>'DATA FULL'!E111</f>
        <v>65531374199.666321</v>
      </c>
    </row>
    <row r="112" spans="1:3" x14ac:dyDescent="0.25">
      <c r="A112" t="str">
        <f>'DATA FULL'!A112</f>
        <v>Myanmar</v>
      </c>
      <c r="B112">
        <f>'DATA FULL'!B112</f>
        <v>2015</v>
      </c>
      <c r="C112" s="34">
        <f>'DATA FULL'!E112</f>
        <v>59607290407.619133</v>
      </c>
    </row>
    <row r="113" spans="1:3" x14ac:dyDescent="0.25">
      <c r="A113" t="str">
        <f>'DATA FULL'!A113</f>
        <v>Myanmar</v>
      </c>
      <c r="B113">
        <f>'DATA FULL'!B113</f>
        <v>2016</v>
      </c>
      <c r="C113" s="34">
        <f>'DATA FULL'!E113</f>
        <v>63298361996.215302</v>
      </c>
    </row>
    <row r="114" spans="1:3" x14ac:dyDescent="0.25">
      <c r="A114" t="str">
        <f>'DATA FULL'!A114</f>
        <v>Myanmar</v>
      </c>
      <c r="B114">
        <f>'DATA FULL'!B114</f>
        <v>2017</v>
      </c>
      <c r="C114" s="34">
        <f>'DATA FULL'!E114</f>
        <v>66053040483.001625</v>
      </c>
    </row>
    <row r="115" spans="1:3" x14ac:dyDescent="0.25">
      <c r="A115" t="str">
        <f>'DATA FULL'!A115</f>
        <v>Myanmar</v>
      </c>
      <c r="B115">
        <f>'DATA FULL'!B115</f>
        <v>2018</v>
      </c>
      <c r="C115" s="34">
        <f>'DATA FULL'!E115</f>
        <v>67860515989.517044</v>
      </c>
    </row>
    <row r="116" spans="1:3" x14ac:dyDescent="0.25">
      <c r="A116" t="str">
        <f>'DATA FULL'!A116</f>
        <v>Myanmar</v>
      </c>
      <c r="B116">
        <f>'DATA FULL'!B116</f>
        <v>2019</v>
      </c>
      <c r="C116" s="34">
        <f>'DATA FULL'!E116</f>
        <v>75065106227.689194</v>
      </c>
    </row>
    <row r="117" spans="1:3" x14ac:dyDescent="0.25">
      <c r="A117" t="str">
        <f>'DATA FULL'!A117</f>
        <v>Myanmar</v>
      </c>
      <c r="B117">
        <f>'DATA FULL'!B117</f>
        <v>2020</v>
      </c>
      <c r="C117" s="34">
        <f>'DATA FULL'!E117</f>
        <v>79006113643.190552</v>
      </c>
    </row>
    <row r="118" spans="1:3" x14ac:dyDescent="0.25">
      <c r="A118" t="str">
        <f>'DATA FULL'!A118</f>
        <v>Myanmar</v>
      </c>
      <c r="B118">
        <f>'DATA FULL'!B118</f>
        <v>2021</v>
      </c>
      <c r="C118" s="34">
        <f>'DATA FULL'!E118</f>
        <v>66345291160.168251</v>
      </c>
    </row>
    <row r="119" spans="1:3" x14ac:dyDescent="0.25">
      <c r="A119" t="str">
        <f>'DATA FULL'!A119</f>
        <v>Myanmar</v>
      </c>
      <c r="B119">
        <f>'DATA FULL'!B119</f>
        <v>2022</v>
      </c>
      <c r="C119" s="34">
        <f>'DATA FULL'!E119</f>
        <v>62253049891.644943</v>
      </c>
    </row>
    <row r="120" spans="1:3" x14ac:dyDescent="0.25">
      <c r="A120" t="str">
        <f>'DATA FULL'!A120</f>
        <v>Myanmar</v>
      </c>
      <c r="B120">
        <f>'DATA FULL'!B120</f>
        <v>2023</v>
      </c>
      <c r="C120" s="34">
        <f>'DATA FULL'!E120</f>
        <v>66757619000</v>
      </c>
    </row>
    <row r="121" spans="1:3" x14ac:dyDescent="0.25">
      <c r="A121" t="str">
        <f>'DATA FULL'!A121</f>
        <v>Myanmar</v>
      </c>
      <c r="B121">
        <f>'DATA FULL'!B121</f>
        <v>2024</v>
      </c>
      <c r="C121" s="34">
        <f>'DATA FULL'!E121</f>
        <v>74079772652.428574</v>
      </c>
    </row>
    <row r="122" spans="1:3" x14ac:dyDescent="0.25">
      <c r="A122" t="str">
        <f>'DATA FULL'!A122</f>
        <v>Philippines</v>
      </c>
      <c r="B122">
        <f>'DATA FULL'!B122</f>
        <v>2005</v>
      </c>
      <c r="C122" s="34">
        <f>'DATA FULL'!E122</f>
        <v>107419977318.16573</v>
      </c>
    </row>
    <row r="123" spans="1:3" x14ac:dyDescent="0.25">
      <c r="A123" t="str">
        <f>'DATA FULL'!A123</f>
        <v>Philippines</v>
      </c>
      <c r="B123">
        <f>'DATA FULL'!B123</f>
        <v>2006</v>
      </c>
      <c r="C123" s="34">
        <f>'DATA FULL'!E123</f>
        <v>127652926368.06917</v>
      </c>
    </row>
    <row r="124" spans="1:3" x14ac:dyDescent="0.25">
      <c r="A124" t="str">
        <f>'DATA FULL'!A124</f>
        <v>Philippines</v>
      </c>
      <c r="B124">
        <f>'DATA FULL'!B124</f>
        <v>2007</v>
      </c>
      <c r="C124" s="34">
        <f>'DATA FULL'!E124</f>
        <v>155980408673.40317</v>
      </c>
    </row>
    <row r="125" spans="1:3" x14ac:dyDescent="0.25">
      <c r="A125" t="str">
        <f>'DATA FULL'!A125</f>
        <v>Philippines</v>
      </c>
      <c r="B125">
        <f>'DATA FULL'!B125</f>
        <v>2008</v>
      </c>
      <c r="C125" s="34">
        <f>'DATA FULL'!E125</f>
        <v>181624626327.36093</v>
      </c>
    </row>
    <row r="126" spans="1:3" x14ac:dyDescent="0.25">
      <c r="A126" t="str">
        <f>'DATA FULL'!A126</f>
        <v>Philippines</v>
      </c>
      <c r="B126">
        <f>'DATA FULL'!B126</f>
        <v>2009</v>
      </c>
      <c r="C126" s="34">
        <f>'DATA FULL'!E126</f>
        <v>175974755881.37238</v>
      </c>
    </row>
    <row r="127" spans="1:3" x14ac:dyDescent="0.25">
      <c r="A127" t="str">
        <f>'DATA FULL'!A127</f>
        <v>Philippines</v>
      </c>
      <c r="B127">
        <f>'DATA FULL'!B127</f>
        <v>2010</v>
      </c>
      <c r="C127" s="34">
        <f>'DATA FULL'!E127</f>
        <v>208368893151.14383</v>
      </c>
    </row>
    <row r="128" spans="1:3" x14ac:dyDescent="0.25">
      <c r="A128" t="str">
        <f>'DATA FULL'!A128</f>
        <v>Philippines</v>
      </c>
      <c r="B128">
        <f>'DATA FULL'!B128</f>
        <v>2011</v>
      </c>
      <c r="C128" s="34">
        <f>'DATA FULL'!E128</f>
        <v>234216730291.32016</v>
      </c>
    </row>
    <row r="129" spans="1:3" x14ac:dyDescent="0.25">
      <c r="A129" t="str">
        <f>'DATA FULL'!A129</f>
        <v>Philippines</v>
      </c>
      <c r="B129">
        <f>'DATA FULL'!B129</f>
        <v>2012</v>
      </c>
      <c r="C129" s="34">
        <f>'DATA FULL'!E129</f>
        <v>261920540962.62988</v>
      </c>
    </row>
    <row r="130" spans="1:3" x14ac:dyDescent="0.25">
      <c r="A130" t="str">
        <f>'DATA FULL'!A130</f>
        <v>Philippines</v>
      </c>
      <c r="B130">
        <f>'DATA FULL'!B130</f>
        <v>2013</v>
      </c>
      <c r="C130" s="34">
        <f>'DATA FULL'!E130</f>
        <v>283902828588.71771</v>
      </c>
    </row>
    <row r="131" spans="1:3" x14ac:dyDescent="0.25">
      <c r="A131" t="str">
        <f>'DATA FULL'!A131</f>
        <v>Philippines</v>
      </c>
      <c r="B131">
        <f>'DATA FULL'!B131</f>
        <v>2014</v>
      </c>
      <c r="C131" s="34">
        <f>'DATA FULL'!E131</f>
        <v>297483555338.04431</v>
      </c>
    </row>
    <row r="132" spans="1:3" x14ac:dyDescent="0.25">
      <c r="A132" t="str">
        <f>'DATA FULL'!A132</f>
        <v>Philippines</v>
      </c>
      <c r="B132">
        <f>'DATA FULL'!B132</f>
        <v>2015</v>
      </c>
      <c r="C132" s="34">
        <f>'DATA FULL'!E132</f>
        <v>306445871242.32245</v>
      </c>
    </row>
    <row r="133" spans="1:3" x14ac:dyDescent="0.25">
      <c r="A133" t="str">
        <f>'DATA FULL'!A133</f>
        <v>Philippines</v>
      </c>
      <c r="B133">
        <f>'DATA FULL'!B133</f>
        <v>2016</v>
      </c>
      <c r="C133" s="34">
        <f>'DATA FULL'!E133</f>
        <v>318627003016.73126</v>
      </c>
    </row>
    <row r="134" spans="1:3" x14ac:dyDescent="0.25">
      <c r="A134" t="str">
        <f>'DATA FULL'!A134</f>
        <v>Philippines</v>
      </c>
      <c r="B134">
        <f>'DATA FULL'!B134</f>
        <v>2017</v>
      </c>
      <c r="C134" s="34">
        <f>'DATA FULL'!E134</f>
        <v>328480736802.75983</v>
      </c>
    </row>
    <row r="135" spans="1:3" x14ac:dyDescent="0.25">
      <c r="A135" t="str">
        <f>'DATA FULL'!A135</f>
        <v>Philippines</v>
      </c>
      <c r="B135">
        <f>'DATA FULL'!B135</f>
        <v>2018</v>
      </c>
      <c r="C135" s="34">
        <f>'DATA FULL'!E135</f>
        <v>346841896587.31256</v>
      </c>
    </row>
    <row r="136" spans="1:3" x14ac:dyDescent="0.25">
      <c r="A136" t="str">
        <f>'DATA FULL'!A136</f>
        <v>Philippines</v>
      </c>
      <c r="B136">
        <f>'DATA FULL'!B136</f>
        <v>2019</v>
      </c>
      <c r="C136" s="34">
        <f>'DATA FULL'!E136</f>
        <v>376823402239.13593</v>
      </c>
    </row>
    <row r="137" spans="1:3" x14ac:dyDescent="0.25">
      <c r="A137" t="str">
        <f>'DATA FULL'!A137</f>
        <v>Philippines</v>
      </c>
      <c r="B137">
        <f>'DATA FULL'!B137</f>
        <v>2020</v>
      </c>
      <c r="C137" s="34">
        <f>'DATA FULL'!E137</f>
        <v>361751145451.59674</v>
      </c>
    </row>
    <row r="138" spans="1:3" x14ac:dyDescent="0.25">
      <c r="A138" t="str">
        <f>'DATA FULL'!A138</f>
        <v>Philippines</v>
      </c>
      <c r="B138">
        <f>'DATA FULL'!B138</f>
        <v>2021</v>
      </c>
      <c r="C138" s="34">
        <f>'DATA FULL'!E138</f>
        <v>394087359848.10999</v>
      </c>
    </row>
    <row r="139" spans="1:3" x14ac:dyDescent="0.25">
      <c r="A139" t="str">
        <f>'DATA FULL'!A139</f>
        <v>Philippines</v>
      </c>
      <c r="B139">
        <f>'DATA FULL'!B139</f>
        <v>2022</v>
      </c>
      <c r="C139" s="34">
        <f>'DATA FULL'!E139</f>
        <v>404353369604.6311</v>
      </c>
    </row>
    <row r="140" spans="1:3" x14ac:dyDescent="0.25">
      <c r="A140" t="str">
        <f>'DATA FULL'!A140</f>
        <v>Philippines</v>
      </c>
      <c r="B140">
        <f>'DATA FULL'!B140</f>
        <v>2023</v>
      </c>
      <c r="C140" s="34">
        <f>'DATA FULL'!E140</f>
        <v>437055627244.42401</v>
      </c>
    </row>
    <row r="141" spans="1:3" x14ac:dyDescent="0.25">
      <c r="A141" t="str">
        <f>'DATA FULL'!A141</f>
        <v>Philippines</v>
      </c>
      <c r="B141">
        <f>'DATA FULL'!B141</f>
        <v>2024</v>
      </c>
      <c r="C141" s="34">
        <f>'DATA FULL'!E141</f>
        <v>461617509782.35455</v>
      </c>
    </row>
    <row r="142" spans="1:3" x14ac:dyDescent="0.25">
      <c r="A142" t="str">
        <f>'DATA FULL'!A142</f>
        <v>Singapore</v>
      </c>
      <c r="B142">
        <f>'DATA FULL'!B142</f>
        <v>2005</v>
      </c>
      <c r="C142" s="34">
        <f>'DATA FULL'!E142</f>
        <v>127807848728.39835</v>
      </c>
    </row>
    <row r="143" spans="1:3" x14ac:dyDescent="0.25">
      <c r="A143" t="str">
        <f>'DATA FULL'!A143</f>
        <v>Singapore</v>
      </c>
      <c r="B143">
        <f>'DATA FULL'!B143</f>
        <v>2006</v>
      </c>
      <c r="C143" s="34">
        <f>'DATA FULL'!E143</f>
        <v>148627286361.35068</v>
      </c>
    </row>
    <row r="144" spans="1:3" x14ac:dyDescent="0.25">
      <c r="A144" t="str">
        <f>'DATA FULL'!A144</f>
        <v>Singapore</v>
      </c>
      <c r="B144">
        <f>'DATA FULL'!B144</f>
        <v>2007</v>
      </c>
      <c r="C144" s="34">
        <f>'DATA FULL'!E144</f>
        <v>180941701357.97046</v>
      </c>
    </row>
    <row r="145" spans="1:3" x14ac:dyDescent="0.25">
      <c r="A145" t="str">
        <f>'DATA FULL'!A145</f>
        <v>Singapore</v>
      </c>
      <c r="B145">
        <f>'DATA FULL'!B145</f>
        <v>2008</v>
      </c>
      <c r="C145" s="34">
        <f>'DATA FULL'!E145</f>
        <v>193617323539.20279</v>
      </c>
    </row>
    <row r="146" spans="1:3" x14ac:dyDescent="0.25">
      <c r="A146" t="str">
        <f>'DATA FULL'!A146</f>
        <v>Singapore</v>
      </c>
      <c r="B146">
        <f>'DATA FULL'!B146</f>
        <v>2009</v>
      </c>
      <c r="C146" s="34">
        <f>'DATA FULL'!E146</f>
        <v>194150283771.56647</v>
      </c>
    </row>
    <row r="147" spans="1:3" x14ac:dyDescent="0.25">
      <c r="A147" t="str">
        <f>'DATA FULL'!A147</f>
        <v>Singapore</v>
      </c>
      <c r="B147">
        <f>'DATA FULL'!B147</f>
        <v>2010</v>
      </c>
      <c r="C147" s="34">
        <f>'DATA FULL'!E147</f>
        <v>239807980591.23965</v>
      </c>
    </row>
    <row r="148" spans="1:3" x14ac:dyDescent="0.25">
      <c r="A148" t="str">
        <f>'DATA FULL'!A148</f>
        <v>Singapore</v>
      </c>
      <c r="B148">
        <f>'DATA FULL'!B148</f>
        <v>2011</v>
      </c>
      <c r="C148" s="34">
        <f>'DATA FULL'!E148</f>
        <v>279356499090.45807</v>
      </c>
    </row>
    <row r="149" spans="1:3" x14ac:dyDescent="0.25">
      <c r="A149" t="str">
        <f>'DATA FULL'!A149</f>
        <v>Singapore</v>
      </c>
      <c r="B149">
        <f>'DATA FULL'!B149</f>
        <v>2012</v>
      </c>
      <c r="C149" s="34">
        <f>'DATA FULL'!E149</f>
        <v>295092888076.58948</v>
      </c>
    </row>
    <row r="150" spans="1:3" x14ac:dyDescent="0.25">
      <c r="A150" t="str">
        <f>'DATA FULL'!A150</f>
        <v>Singapore</v>
      </c>
      <c r="B150">
        <f>'DATA FULL'!B150</f>
        <v>2013</v>
      </c>
      <c r="C150" s="34">
        <f>'DATA FULL'!E150</f>
        <v>307576360584.99158</v>
      </c>
    </row>
    <row r="151" spans="1:3" x14ac:dyDescent="0.25">
      <c r="A151" t="str">
        <f>'DATA FULL'!A151</f>
        <v>Singapore</v>
      </c>
      <c r="B151">
        <f>'DATA FULL'!B151</f>
        <v>2014</v>
      </c>
      <c r="C151" s="34">
        <f>'DATA FULL'!E151</f>
        <v>314863580758.45465</v>
      </c>
    </row>
    <row r="152" spans="1:3" x14ac:dyDescent="0.25">
      <c r="A152" t="str">
        <f>'DATA FULL'!A152</f>
        <v>Singapore</v>
      </c>
      <c r="B152">
        <f>'DATA FULL'!B152</f>
        <v>2015</v>
      </c>
      <c r="C152" s="34">
        <f>'DATA FULL'!E152</f>
        <v>307998545269.39795</v>
      </c>
    </row>
    <row r="153" spans="1:3" x14ac:dyDescent="0.25">
      <c r="A153" t="str">
        <f>'DATA FULL'!A153</f>
        <v>Singapore</v>
      </c>
      <c r="B153">
        <f>'DATA FULL'!B153</f>
        <v>2016</v>
      </c>
      <c r="C153" s="34">
        <f>'DATA FULL'!E153</f>
        <v>319646468521.49695</v>
      </c>
    </row>
    <row r="154" spans="1:3" x14ac:dyDescent="0.25">
      <c r="A154" t="str">
        <f>'DATA FULL'!A154</f>
        <v>Singapore</v>
      </c>
      <c r="B154">
        <f>'DATA FULL'!B154</f>
        <v>2017</v>
      </c>
      <c r="C154" s="34">
        <f>'DATA FULL'!E154</f>
        <v>343673334902.32996</v>
      </c>
    </row>
    <row r="155" spans="1:3" x14ac:dyDescent="0.25">
      <c r="A155" t="str">
        <f>'DATA FULL'!A155</f>
        <v>Singapore</v>
      </c>
      <c r="B155">
        <f>'DATA FULL'!B155</f>
        <v>2018</v>
      </c>
      <c r="C155" s="34">
        <f>'DATA FULL'!E155</f>
        <v>377123710560.6142</v>
      </c>
    </row>
    <row r="156" spans="1:3" x14ac:dyDescent="0.25">
      <c r="A156" t="str">
        <f>'DATA FULL'!A156</f>
        <v>Singapore</v>
      </c>
      <c r="B156">
        <f>'DATA FULL'!B156</f>
        <v>2019</v>
      </c>
      <c r="C156" s="34">
        <f>'DATA FULL'!E156</f>
        <v>376161998830.04755</v>
      </c>
    </row>
    <row r="157" spans="1:3" x14ac:dyDescent="0.25">
      <c r="A157" t="str">
        <f>'DATA FULL'!A157</f>
        <v>Singapore</v>
      </c>
      <c r="B157">
        <f>'DATA FULL'!B157</f>
        <v>2020</v>
      </c>
      <c r="C157" s="34">
        <f>'DATA FULL'!E157</f>
        <v>349165858544.56848</v>
      </c>
    </row>
    <row r="158" spans="1:3" x14ac:dyDescent="0.25">
      <c r="A158" t="str">
        <f>'DATA FULL'!A158</f>
        <v>Singapore</v>
      </c>
      <c r="B158">
        <f>'DATA FULL'!B158</f>
        <v>2021</v>
      </c>
      <c r="C158" s="34">
        <f>'DATA FULL'!E158</f>
        <v>436591382250.46393</v>
      </c>
    </row>
    <row r="159" spans="1:3" x14ac:dyDescent="0.25">
      <c r="A159" t="str">
        <f>'DATA FULL'!A159</f>
        <v>Singapore</v>
      </c>
      <c r="B159">
        <f>'DATA FULL'!B159</f>
        <v>2022</v>
      </c>
      <c r="C159" s="34">
        <f>'DATA FULL'!E159</f>
        <v>509017841146.55676</v>
      </c>
    </row>
    <row r="160" spans="1:3" x14ac:dyDescent="0.25">
      <c r="A160" t="str">
        <f>'DATA FULL'!A160</f>
        <v>Singapore</v>
      </c>
      <c r="B160">
        <f>'DATA FULL'!B160</f>
        <v>2023</v>
      </c>
      <c r="C160" s="34">
        <f>'DATA FULL'!E160</f>
        <v>505439514078.01947</v>
      </c>
    </row>
    <row r="161" spans="1:3" x14ac:dyDescent="0.25">
      <c r="A161" t="str">
        <f>'DATA FULL'!A161</f>
        <v>Singapore</v>
      </c>
      <c r="B161">
        <f>'DATA FULL'!B161</f>
        <v>2024</v>
      </c>
      <c r="C161" s="34">
        <f>'DATA FULL'!E161</f>
        <v>547386645891.84668</v>
      </c>
    </row>
    <row r="162" spans="1:3" x14ac:dyDescent="0.25">
      <c r="A162" t="str">
        <f>'DATA FULL'!A162</f>
        <v>Thailand</v>
      </c>
      <c r="B162">
        <f>'DATA FULL'!B162</f>
        <v>2005</v>
      </c>
      <c r="C162" s="34">
        <f>'DATA FULL'!E162</f>
        <v>189318408468.59521</v>
      </c>
    </row>
    <row r="163" spans="1:3" x14ac:dyDescent="0.25">
      <c r="A163" t="str">
        <f>'DATA FULL'!A163</f>
        <v>Thailand</v>
      </c>
      <c r="B163">
        <f>'DATA FULL'!B163</f>
        <v>2006</v>
      </c>
      <c r="C163" s="34">
        <f>'DATA FULL'!E163</f>
        <v>221758296021.62064</v>
      </c>
    </row>
    <row r="164" spans="1:3" x14ac:dyDescent="0.25">
      <c r="A164" t="str">
        <f>'DATA FULL'!A164</f>
        <v>Thailand</v>
      </c>
      <c r="B164">
        <f>'DATA FULL'!B164</f>
        <v>2007</v>
      </c>
      <c r="C164" s="34">
        <f>'DATA FULL'!E164</f>
        <v>262942621455.05292</v>
      </c>
    </row>
    <row r="165" spans="1:3" x14ac:dyDescent="0.25">
      <c r="A165" t="str">
        <f>'DATA FULL'!A165</f>
        <v>Thailand</v>
      </c>
      <c r="B165">
        <f>'DATA FULL'!B165</f>
        <v>2008</v>
      </c>
      <c r="C165" s="34">
        <f>'DATA FULL'!E165</f>
        <v>291382982430.95148</v>
      </c>
    </row>
    <row r="166" spans="1:3" x14ac:dyDescent="0.25">
      <c r="A166" t="str">
        <f>'DATA FULL'!A166</f>
        <v>Thailand</v>
      </c>
      <c r="B166">
        <f>'DATA FULL'!B166</f>
        <v>2009</v>
      </c>
      <c r="C166" s="34">
        <f>'DATA FULL'!E166</f>
        <v>281710630187.31909</v>
      </c>
    </row>
    <row r="167" spans="1:3" x14ac:dyDescent="0.25">
      <c r="A167" t="str">
        <f>'DATA FULL'!A167</f>
        <v>Thailand</v>
      </c>
      <c r="B167">
        <f>'DATA FULL'!B167</f>
        <v>2010</v>
      </c>
      <c r="C167" s="34">
        <f>'DATA FULL'!E167</f>
        <v>341104766329.16962</v>
      </c>
    </row>
    <row r="168" spans="1:3" x14ac:dyDescent="0.25">
      <c r="A168" t="str">
        <f>'DATA FULL'!A168</f>
        <v>Thailand</v>
      </c>
      <c r="B168">
        <f>'DATA FULL'!B168</f>
        <v>2011</v>
      </c>
      <c r="C168" s="34">
        <f>'DATA FULL'!E168</f>
        <v>370818739623.62195</v>
      </c>
    </row>
    <row r="169" spans="1:3" x14ac:dyDescent="0.25">
      <c r="A169" t="str">
        <f>'DATA FULL'!A169</f>
        <v>Thailand</v>
      </c>
      <c r="B169">
        <f>'DATA FULL'!B169</f>
        <v>2012</v>
      </c>
      <c r="C169" s="34">
        <f>'DATA FULL'!E169</f>
        <v>397558325278.5791</v>
      </c>
    </row>
    <row r="170" spans="1:3" x14ac:dyDescent="0.25">
      <c r="A170" t="str">
        <f>'DATA FULL'!A170</f>
        <v>Thailand</v>
      </c>
      <c r="B170">
        <f>'DATA FULL'!B170</f>
        <v>2013</v>
      </c>
      <c r="C170" s="34">
        <f>'DATA FULL'!E170</f>
        <v>420333654592.54706</v>
      </c>
    </row>
    <row r="171" spans="1:3" x14ac:dyDescent="0.25">
      <c r="A171" t="str">
        <f>'DATA FULL'!A171</f>
        <v>Thailand</v>
      </c>
      <c r="B171">
        <f>'DATA FULL'!B171</f>
        <v>2014</v>
      </c>
      <c r="C171" s="34">
        <f>'DATA FULL'!E171</f>
        <v>407339040197.65125</v>
      </c>
    </row>
    <row r="172" spans="1:3" x14ac:dyDescent="0.25">
      <c r="A172" t="str">
        <f>'DATA FULL'!A172</f>
        <v>Thailand</v>
      </c>
      <c r="B172">
        <f>'DATA FULL'!B172</f>
        <v>2015</v>
      </c>
      <c r="C172" s="34">
        <f>'DATA FULL'!E172</f>
        <v>401296238228.08392</v>
      </c>
    </row>
    <row r="173" spans="1:3" x14ac:dyDescent="0.25">
      <c r="A173" t="str">
        <f>'DATA FULL'!A173</f>
        <v>Thailand</v>
      </c>
      <c r="B173">
        <f>'DATA FULL'!B173</f>
        <v>2016</v>
      </c>
      <c r="C173" s="34">
        <f>'DATA FULL'!E173</f>
        <v>413366349747.50812</v>
      </c>
    </row>
    <row r="174" spans="1:3" x14ac:dyDescent="0.25">
      <c r="A174" t="str">
        <f>'DATA FULL'!A174</f>
        <v>Thailand</v>
      </c>
      <c r="B174">
        <f>'DATA FULL'!B174</f>
        <v>2017</v>
      </c>
      <c r="C174" s="34">
        <f>'DATA FULL'!E174</f>
        <v>456356813536.76367</v>
      </c>
    </row>
    <row r="175" spans="1:3" x14ac:dyDescent="0.25">
      <c r="A175" t="str">
        <f>'DATA FULL'!A175</f>
        <v>Thailand</v>
      </c>
      <c r="B175">
        <f>'DATA FULL'!B175</f>
        <v>2018</v>
      </c>
      <c r="C175" s="34">
        <f>'DATA FULL'!E175</f>
        <v>506754208404.48468</v>
      </c>
    </row>
    <row r="176" spans="1:3" x14ac:dyDescent="0.25">
      <c r="A176" t="str">
        <f>'DATA FULL'!A176</f>
        <v>Thailand</v>
      </c>
      <c r="B176">
        <f>'DATA FULL'!B176</f>
        <v>2019</v>
      </c>
      <c r="C176" s="34">
        <f>'DATA FULL'!E176</f>
        <v>543976691793.88586</v>
      </c>
    </row>
    <row r="177" spans="1:3" x14ac:dyDescent="0.25">
      <c r="A177" t="str">
        <f>'DATA FULL'!A177</f>
        <v>Thailand</v>
      </c>
      <c r="B177">
        <f>'DATA FULL'!B177</f>
        <v>2020</v>
      </c>
      <c r="C177" s="34">
        <f>'DATA FULL'!E177</f>
        <v>500461898480.24554</v>
      </c>
    </row>
    <row r="178" spans="1:3" x14ac:dyDescent="0.25">
      <c r="A178" t="str">
        <f>'DATA FULL'!A178</f>
        <v>Thailand</v>
      </c>
      <c r="B178">
        <f>'DATA FULL'!B178</f>
        <v>2021</v>
      </c>
      <c r="C178" s="34">
        <f>'DATA FULL'!E178</f>
        <v>506194668789.93658</v>
      </c>
    </row>
    <row r="179" spans="1:3" x14ac:dyDescent="0.25">
      <c r="A179" t="str">
        <f>'DATA FULL'!A179</f>
        <v>Thailand</v>
      </c>
      <c r="B179">
        <f>'DATA FULL'!B179</f>
        <v>2022</v>
      </c>
      <c r="C179" s="34">
        <f>'DATA FULL'!E179</f>
        <v>495644697587.66052</v>
      </c>
    </row>
    <row r="180" spans="1:3" x14ac:dyDescent="0.25">
      <c r="A180" t="str">
        <f>'DATA FULL'!A180</f>
        <v>Thailand</v>
      </c>
      <c r="B180">
        <f>'DATA FULL'!B180</f>
        <v>2023</v>
      </c>
      <c r="C180" s="34">
        <f>'DATA FULL'!E180</f>
        <v>515906283940.93262</v>
      </c>
    </row>
    <row r="181" spans="1:3" x14ac:dyDescent="0.25">
      <c r="A181" t="str">
        <f>'DATA FULL'!A181</f>
        <v>Thailand</v>
      </c>
      <c r="B181">
        <f>'DATA FULL'!B181</f>
        <v>2024</v>
      </c>
      <c r="C181" s="34">
        <f>'DATA FULL'!E181</f>
        <v>526411265427.68256</v>
      </c>
    </row>
    <row r="182" spans="1:3" x14ac:dyDescent="0.25">
      <c r="A182" t="str">
        <f>'DATA FULL'!A182</f>
        <v>Vietnam</v>
      </c>
      <c r="B182">
        <f>'DATA FULL'!B182</f>
        <v>2005</v>
      </c>
      <c r="C182" s="34">
        <f>'DATA FULL'!E182</f>
        <v>57633255738.199158</v>
      </c>
    </row>
    <row r="183" spans="1:3" x14ac:dyDescent="0.25">
      <c r="A183" t="str">
        <f>'DATA FULL'!A183</f>
        <v>Vietnam</v>
      </c>
      <c r="B183">
        <f>'DATA FULL'!B183</f>
        <v>2006</v>
      </c>
      <c r="C183" s="34">
        <f>'DATA FULL'!E183</f>
        <v>66371664817.043625</v>
      </c>
    </row>
    <row r="184" spans="1:3" x14ac:dyDescent="0.25">
      <c r="A184" t="str">
        <f>'DATA FULL'!A184</f>
        <v>Vietnam</v>
      </c>
      <c r="B184">
        <f>'DATA FULL'!B184</f>
        <v>2007</v>
      </c>
      <c r="C184" s="34">
        <f>'DATA FULL'!E184</f>
        <v>77414425532.245163</v>
      </c>
    </row>
    <row r="185" spans="1:3" x14ac:dyDescent="0.25">
      <c r="A185" t="str">
        <f>'DATA FULL'!A185</f>
        <v>Vietnam</v>
      </c>
      <c r="B185">
        <f>'DATA FULL'!B185</f>
        <v>2008</v>
      </c>
      <c r="C185" s="34">
        <f>'DATA FULL'!E185</f>
        <v>99130304099.127426</v>
      </c>
    </row>
    <row r="186" spans="1:3" x14ac:dyDescent="0.25">
      <c r="A186" t="str">
        <f>'DATA FULL'!A186</f>
        <v>Vietnam</v>
      </c>
      <c r="B186">
        <f>'DATA FULL'!B186</f>
        <v>2009</v>
      </c>
      <c r="C186" s="34">
        <f>'DATA FULL'!E186</f>
        <v>106014659565.21387</v>
      </c>
    </row>
    <row r="187" spans="1:3" x14ac:dyDescent="0.25">
      <c r="A187" t="str">
        <f>'DATA FULL'!A187</f>
        <v>Vietnam</v>
      </c>
      <c r="B187">
        <f>'DATA FULL'!B187</f>
        <v>2010</v>
      </c>
      <c r="C187" s="34">
        <f>'DATA FULL'!E187</f>
        <v>147201173196.97876</v>
      </c>
    </row>
    <row r="188" spans="1:3" x14ac:dyDescent="0.25">
      <c r="A188" t="str">
        <f>'DATA FULL'!A188</f>
        <v>Vietnam</v>
      </c>
      <c r="B188">
        <f>'DATA FULL'!B188</f>
        <v>2011</v>
      </c>
      <c r="C188" s="34">
        <f>'DATA FULL'!E188</f>
        <v>172595049183.92471</v>
      </c>
    </row>
    <row r="189" spans="1:3" x14ac:dyDescent="0.25">
      <c r="A189" t="str">
        <f>'DATA FULL'!A189</f>
        <v>Vietnam</v>
      </c>
      <c r="B189">
        <f>'DATA FULL'!B189</f>
        <v>2012</v>
      </c>
      <c r="C189" s="34">
        <f>'DATA FULL'!E189</f>
        <v>195590661129.24908</v>
      </c>
    </row>
    <row r="190" spans="1:3" x14ac:dyDescent="0.25">
      <c r="A190" t="str">
        <f>'DATA FULL'!A190</f>
        <v>Vietnam</v>
      </c>
      <c r="B190">
        <f>'DATA FULL'!B190</f>
        <v>2013</v>
      </c>
      <c r="C190" s="34">
        <f>'DATA FULL'!E190</f>
        <v>213708811665.34036</v>
      </c>
    </row>
    <row r="191" spans="1:3" x14ac:dyDescent="0.25">
      <c r="A191" t="str">
        <f>'DATA FULL'!A191</f>
        <v>Vietnam</v>
      </c>
      <c r="B191">
        <f>'DATA FULL'!B191</f>
        <v>2014</v>
      </c>
      <c r="C191" s="34">
        <f>'DATA FULL'!E191</f>
        <v>233451469642.51938</v>
      </c>
    </row>
    <row r="192" spans="1:3" x14ac:dyDescent="0.25">
      <c r="A192" t="str">
        <f>'DATA FULL'!A192</f>
        <v>Vietnam</v>
      </c>
      <c r="B192">
        <f>'DATA FULL'!B192</f>
        <v>2015</v>
      </c>
      <c r="C192" s="34">
        <f>'DATA FULL'!E192</f>
        <v>239258328381.74139</v>
      </c>
    </row>
    <row r="193" spans="1:3" x14ac:dyDescent="0.25">
      <c r="A193" t="str">
        <f>'DATA FULL'!A193</f>
        <v>Vietnam</v>
      </c>
      <c r="B193">
        <f>'DATA FULL'!B193</f>
        <v>2016</v>
      </c>
      <c r="C193" s="34">
        <f>'DATA FULL'!E193</f>
        <v>257096001177.98184</v>
      </c>
    </row>
    <row r="194" spans="1:3" x14ac:dyDescent="0.25">
      <c r="A194" t="str">
        <f>'DATA FULL'!A194</f>
        <v>Vietnam</v>
      </c>
      <c r="B194">
        <f>'DATA FULL'!B194</f>
        <v>2017</v>
      </c>
      <c r="C194" s="34">
        <f>'DATA FULL'!E194</f>
        <v>281353605986.90344</v>
      </c>
    </row>
    <row r="195" spans="1:3" x14ac:dyDescent="0.25">
      <c r="A195" t="str">
        <f>'DATA FULL'!A195</f>
        <v>Vietnam</v>
      </c>
      <c r="B195">
        <f>'DATA FULL'!B195</f>
        <v>2018</v>
      </c>
      <c r="C195" s="34">
        <f>'DATA FULL'!E195</f>
        <v>310106478394.65887</v>
      </c>
    </row>
    <row r="196" spans="1:3" x14ac:dyDescent="0.25">
      <c r="A196" t="str">
        <f>'DATA FULL'!A196</f>
        <v>Vietnam</v>
      </c>
      <c r="B196">
        <f>'DATA FULL'!B196</f>
        <v>2019</v>
      </c>
      <c r="C196" s="34">
        <f>'DATA FULL'!E196</f>
        <v>334365270496.66705</v>
      </c>
    </row>
    <row r="197" spans="1:3" x14ac:dyDescent="0.25">
      <c r="A197" t="str">
        <f>'DATA FULL'!A197</f>
        <v>Vietnam</v>
      </c>
      <c r="B197">
        <f>'DATA FULL'!B197</f>
        <v>2020</v>
      </c>
      <c r="C197" s="34">
        <f>'DATA FULL'!E197</f>
        <v>346615738537.79633</v>
      </c>
    </row>
    <row r="198" spans="1:3" x14ac:dyDescent="0.25">
      <c r="A198" t="str">
        <f>'DATA FULL'!A198</f>
        <v>Vietnam</v>
      </c>
      <c r="B198">
        <f>'DATA FULL'!B198</f>
        <v>2021</v>
      </c>
      <c r="C198" s="34">
        <f>'DATA FULL'!E198</f>
        <v>366474752771.00934</v>
      </c>
    </row>
    <row r="199" spans="1:3" x14ac:dyDescent="0.25">
      <c r="A199" t="str">
        <f>'DATA FULL'!A199</f>
        <v>Vietnam</v>
      </c>
      <c r="B199">
        <f>'DATA FULL'!B199</f>
        <v>2022</v>
      </c>
      <c r="C199" s="34">
        <f>'DATA FULL'!E199</f>
        <v>413445230668.57819</v>
      </c>
    </row>
    <row r="200" spans="1:3" x14ac:dyDescent="0.25">
      <c r="A200" t="str">
        <f>'DATA FULL'!A200</f>
        <v>Vietnam</v>
      </c>
      <c r="B200">
        <f>'DATA FULL'!B200</f>
        <v>2023</v>
      </c>
      <c r="C200" s="34">
        <f>'DATA FULL'!E200</f>
        <v>433857681378.29095</v>
      </c>
    </row>
    <row r="201" spans="1:3" x14ac:dyDescent="0.25">
      <c r="A201" t="str">
        <f>'DATA FULL'!A201</f>
        <v>Vietnam</v>
      </c>
      <c r="B201">
        <f>'DATA FULL'!B201</f>
        <v>2024</v>
      </c>
      <c r="C201" s="34">
        <f>'DATA FULL'!E201</f>
        <v>476388230307.17523</v>
      </c>
    </row>
    <row r="202" spans="1:3" x14ac:dyDescent="0.25">
      <c r="A202" t="s">
        <v>21</v>
      </c>
      <c r="B202">
        <v>2005</v>
      </c>
      <c r="C202" s="34">
        <f>'DATA FULL'!F2</f>
        <v>2285961149904.2568</v>
      </c>
    </row>
    <row r="203" spans="1:3" x14ac:dyDescent="0.25">
      <c r="A203" t="s">
        <v>21</v>
      </c>
      <c r="B203">
        <v>2006</v>
      </c>
      <c r="C203" s="34">
        <f>'DATA FULL'!F3</f>
        <v>2752118657221.6401</v>
      </c>
    </row>
    <row r="204" spans="1:3" x14ac:dyDescent="0.25">
      <c r="A204" t="s">
        <v>21</v>
      </c>
      <c r="B204">
        <v>2007</v>
      </c>
      <c r="C204" s="34">
        <f>'DATA FULL'!F4</f>
        <v>3550327803024.6865</v>
      </c>
    </row>
    <row r="205" spans="1:3" x14ac:dyDescent="0.25">
      <c r="A205" t="s">
        <v>21</v>
      </c>
      <c r="B205">
        <v>2008</v>
      </c>
      <c r="C205" s="34">
        <f>'DATA FULL'!F5</f>
        <v>4594336785752.0635</v>
      </c>
    </row>
    <row r="206" spans="1:3" x14ac:dyDescent="0.25">
      <c r="A206" t="s">
        <v>21</v>
      </c>
      <c r="B206">
        <v>2009</v>
      </c>
      <c r="C206" s="34">
        <f>'DATA FULL'!F6</f>
        <v>5101691124358.4053</v>
      </c>
    </row>
    <row r="207" spans="1:3" x14ac:dyDescent="0.25">
      <c r="A207" t="s">
        <v>21</v>
      </c>
      <c r="B207">
        <v>2010</v>
      </c>
      <c r="C207" s="34">
        <f>'DATA FULL'!F7</f>
        <v>6087191746738.5713</v>
      </c>
    </row>
    <row r="208" spans="1:3" x14ac:dyDescent="0.25">
      <c r="A208" t="s">
        <v>21</v>
      </c>
      <c r="B208">
        <v>2011</v>
      </c>
      <c r="C208" s="34">
        <f>'DATA FULL'!F8</f>
        <v>7551545703518.1367</v>
      </c>
    </row>
    <row r="209" spans="1:3" x14ac:dyDescent="0.25">
      <c r="A209" t="s">
        <v>21</v>
      </c>
      <c r="B209">
        <v>2012</v>
      </c>
      <c r="C209" s="34">
        <f>'DATA FULL'!F9</f>
        <v>8532185381696.4346</v>
      </c>
    </row>
    <row r="210" spans="1:3" x14ac:dyDescent="0.25">
      <c r="A210" t="s">
        <v>21</v>
      </c>
      <c r="B210">
        <v>2013</v>
      </c>
      <c r="C210" s="34">
        <f>'DATA FULL'!F10</f>
        <v>9570471111847.8164</v>
      </c>
    </row>
    <row r="211" spans="1:3" x14ac:dyDescent="0.25">
      <c r="A211" t="s">
        <v>21</v>
      </c>
      <c r="B211">
        <v>2014</v>
      </c>
      <c r="C211" s="34">
        <f>'DATA FULL'!F11</f>
        <v>10475624944290.115</v>
      </c>
    </row>
    <row r="212" spans="1:3" x14ac:dyDescent="0.25">
      <c r="A212" t="s">
        <v>21</v>
      </c>
      <c r="B212">
        <v>2015</v>
      </c>
      <c r="C212" s="34">
        <f>'DATA FULL'!F12</f>
        <v>11061572618594.75</v>
      </c>
    </row>
    <row r="213" spans="1:3" x14ac:dyDescent="0.25">
      <c r="A213" t="s">
        <v>21</v>
      </c>
      <c r="B213">
        <v>2016</v>
      </c>
      <c r="C213" s="34">
        <f>'DATA FULL'!F13</f>
        <v>11233313730288.52</v>
      </c>
    </row>
    <row r="214" spans="1:3" x14ac:dyDescent="0.25">
      <c r="A214" t="s">
        <v>21</v>
      </c>
      <c r="B214">
        <v>2017</v>
      </c>
      <c r="C214" s="34">
        <f>'DATA FULL'!F14</f>
        <v>12310491333980.889</v>
      </c>
    </row>
    <row r="215" spans="1:3" x14ac:dyDescent="0.25">
      <c r="A215" t="s">
        <v>21</v>
      </c>
      <c r="B215">
        <v>2018</v>
      </c>
      <c r="C215" s="34">
        <f>'DATA FULL'!F15</f>
        <v>13894907857925.922</v>
      </c>
    </row>
    <row r="216" spans="1:3" x14ac:dyDescent="0.25">
      <c r="A216" t="s">
        <v>21</v>
      </c>
      <c r="B216">
        <v>2019</v>
      </c>
      <c r="C216" s="34">
        <f>'DATA FULL'!F16</f>
        <v>14279968506242.775</v>
      </c>
    </row>
    <row r="217" spans="1:3" x14ac:dyDescent="0.25">
      <c r="A217" t="s">
        <v>21</v>
      </c>
      <c r="B217">
        <v>2020</v>
      </c>
      <c r="C217" s="34">
        <f>'DATA FULL'!F17</f>
        <v>14687744162801.033</v>
      </c>
    </row>
    <row r="218" spans="1:3" x14ac:dyDescent="0.25">
      <c r="A218" t="s">
        <v>21</v>
      </c>
      <c r="B218">
        <v>2021</v>
      </c>
      <c r="C218" s="34">
        <f>'DATA FULL'!F18</f>
        <v>17820459508852.184</v>
      </c>
    </row>
    <row r="219" spans="1:3" x14ac:dyDescent="0.25">
      <c r="A219" t="s">
        <v>21</v>
      </c>
      <c r="B219">
        <v>2022</v>
      </c>
      <c r="C219" s="34">
        <f>'DATA FULL'!F19</f>
        <v>17963171479205.328</v>
      </c>
    </row>
    <row r="220" spans="1:3" x14ac:dyDescent="0.25">
      <c r="A220" t="s">
        <v>21</v>
      </c>
      <c r="B220">
        <v>2023</v>
      </c>
      <c r="C220" s="34">
        <f>'DATA FULL'!F20</f>
        <v>18270356654533.215</v>
      </c>
    </row>
    <row r="221" spans="1:3" x14ac:dyDescent="0.25">
      <c r="A221" t="s">
        <v>21</v>
      </c>
      <c r="B221">
        <v>2024</v>
      </c>
      <c r="C221" s="34">
        <f>'DATA FULL'!F21</f>
        <v>18743803170827.164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5252-CE0F-43F7-96A2-AC0A08B8832D}">
  <dimension ref="A1:U26"/>
  <sheetViews>
    <sheetView workbookViewId="0">
      <selection activeCell="A16" sqref="A16:U26"/>
    </sheetView>
  </sheetViews>
  <sheetFormatPr defaultRowHeight="15" x14ac:dyDescent="0.25"/>
  <cols>
    <col min="1" max="1" width="10.42578125" customWidth="1"/>
    <col min="2" max="17" width="5.5703125" customWidth="1"/>
    <col min="18" max="21" width="5" bestFit="1" customWidth="1"/>
  </cols>
  <sheetData>
    <row r="1" spans="1:21" x14ac:dyDescent="0.25">
      <c r="A1" s="51" t="s">
        <v>22</v>
      </c>
      <c r="B1" s="51"/>
      <c r="C1" s="51"/>
    </row>
    <row r="2" spans="1:21" x14ac:dyDescent="0.25">
      <c r="A2" s="36" t="s">
        <v>0</v>
      </c>
      <c r="B2" s="35" t="s">
        <v>23</v>
      </c>
      <c r="C2" s="35" t="s">
        <v>24</v>
      </c>
      <c r="D2" s="35" t="s">
        <v>25</v>
      </c>
      <c r="E2" s="35" t="s">
        <v>26</v>
      </c>
      <c r="F2" s="35" t="s">
        <v>27</v>
      </c>
      <c r="G2" s="35" t="s">
        <v>28</v>
      </c>
      <c r="H2" s="35" t="s">
        <v>29</v>
      </c>
      <c r="I2" s="35" t="s">
        <v>30</v>
      </c>
      <c r="J2" s="35" t="s">
        <v>31</v>
      </c>
      <c r="K2" s="35" t="s">
        <v>32</v>
      </c>
      <c r="L2" s="35" t="s">
        <v>33</v>
      </c>
      <c r="M2" s="35" t="s">
        <v>34</v>
      </c>
      <c r="N2" s="35" t="s">
        <v>35</v>
      </c>
      <c r="O2" s="35" t="s">
        <v>36</v>
      </c>
      <c r="P2" s="35" t="s">
        <v>37</v>
      </c>
      <c r="Q2" s="35" t="s">
        <v>38</v>
      </c>
      <c r="R2" s="35" t="s">
        <v>39</v>
      </c>
      <c r="S2" s="35" t="s">
        <v>40</v>
      </c>
    </row>
    <row r="3" spans="1:21" x14ac:dyDescent="0.25">
      <c r="A3" t="s">
        <v>41</v>
      </c>
      <c r="B3">
        <v>0</v>
      </c>
      <c r="C3">
        <v>0</v>
      </c>
      <c r="D3">
        <v>1</v>
      </c>
      <c r="E3">
        <v>1</v>
      </c>
      <c r="F3">
        <v>2</v>
      </c>
      <c r="G3">
        <v>1</v>
      </c>
      <c r="H3">
        <v>1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21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1" x14ac:dyDescent="0.25">
      <c r="A5" t="s">
        <v>12</v>
      </c>
      <c r="B5">
        <v>0</v>
      </c>
      <c r="C5">
        <v>0</v>
      </c>
      <c r="D5">
        <v>1</v>
      </c>
      <c r="E5">
        <v>1</v>
      </c>
      <c r="F5">
        <v>2</v>
      </c>
      <c r="G5">
        <v>2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1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 x14ac:dyDescent="0.25">
      <c r="A7" t="s">
        <v>14</v>
      </c>
      <c r="B7">
        <v>0</v>
      </c>
      <c r="C7">
        <v>0</v>
      </c>
      <c r="D7">
        <v>1</v>
      </c>
      <c r="E7">
        <v>1</v>
      </c>
      <c r="F7">
        <v>3</v>
      </c>
      <c r="G7">
        <v>1</v>
      </c>
      <c r="H7">
        <v>2</v>
      </c>
      <c r="I7">
        <v>3</v>
      </c>
      <c r="J7">
        <v>1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1" x14ac:dyDescent="0.25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 x14ac:dyDescent="0.25">
      <c r="A9" t="s">
        <v>16</v>
      </c>
      <c r="B9">
        <v>0</v>
      </c>
      <c r="C9">
        <v>0</v>
      </c>
      <c r="D9">
        <v>1</v>
      </c>
      <c r="E9">
        <v>1</v>
      </c>
      <c r="F9">
        <v>3</v>
      </c>
      <c r="G9">
        <v>1</v>
      </c>
      <c r="H9">
        <v>3</v>
      </c>
      <c r="I9">
        <v>4</v>
      </c>
      <c r="J9">
        <v>1</v>
      </c>
      <c r="K9">
        <v>5</v>
      </c>
      <c r="L9">
        <v>1</v>
      </c>
      <c r="M9">
        <v>1</v>
      </c>
      <c r="N9">
        <v>0</v>
      </c>
      <c r="O9">
        <v>0</v>
      </c>
      <c r="P9">
        <v>1</v>
      </c>
      <c r="Q9">
        <v>3</v>
      </c>
      <c r="R9">
        <v>1</v>
      </c>
      <c r="S9">
        <v>1</v>
      </c>
    </row>
    <row r="10" spans="1:21" x14ac:dyDescent="0.25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 x14ac:dyDescent="0.25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1" x14ac:dyDescent="0.25">
      <c r="A12" t="s">
        <v>19</v>
      </c>
      <c r="B12">
        <v>2</v>
      </c>
      <c r="C12">
        <v>2</v>
      </c>
      <c r="D12">
        <v>4</v>
      </c>
      <c r="E12">
        <v>3</v>
      </c>
      <c r="F12">
        <v>4</v>
      </c>
      <c r="G12">
        <v>2</v>
      </c>
      <c r="H12">
        <v>3</v>
      </c>
      <c r="I12">
        <v>4</v>
      </c>
      <c r="J12">
        <v>0</v>
      </c>
      <c r="K12">
        <v>3</v>
      </c>
      <c r="L12">
        <v>2</v>
      </c>
      <c r="M12">
        <v>1</v>
      </c>
      <c r="N12">
        <v>0</v>
      </c>
      <c r="O12">
        <v>1</v>
      </c>
      <c r="P12">
        <v>1</v>
      </c>
      <c r="Q12">
        <v>3</v>
      </c>
      <c r="R12">
        <v>0</v>
      </c>
      <c r="S12">
        <v>0</v>
      </c>
    </row>
    <row r="15" spans="1:21" x14ac:dyDescent="0.25">
      <c r="A15" s="51" t="s">
        <v>42</v>
      </c>
      <c r="B15" s="51"/>
      <c r="C15" s="51"/>
    </row>
    <row r="16" spans="1:21" x14ac:dyDescent="0.25">
      <c r="A16" s="36" t="s">
        <v>0</v>
      </c>
      <c r="B16" s="35" t="s">
        <v>23</v>
      </c>
      <c r="C16" s="35" t="s">
        <v>24</v>
      </c>
      <c r="D16" s="35" t="s">
        <v>25</v>
      </c>
      <c r="E16" s="35" t="s">
        <v>26</v>
      </c>
      <c r="F16" s="35" t="s">
        <v>27</v>
      </c>
      <c r="G16" s="35" t="s">
        <v>28</v>
      </c>
      <c r="H16" s="35" t="s">
        <v>29</v>
      </c>
      <c r="I16" s="35" t="s">
        <v>30</v>
      </c>
      <c r="J16" s="35" t="s">
        <v>31</v>
      </c>
      <c r="K16" s="35" t="s">
        <v>32</v>
      </c>
      <c r="L16" s="35" t="s">
        <v>33</v>
      </c>
      <c r="M16" s="35" t="s">
        <v>34</v>
      </c>
      <c r="N16" s="35" t="s">
        <v>35</v>
      </c>
      <c r="O16" s="35" t="s">
        <v>36</v>
      </c>
      <c r="P16" s="35" t="s">
        <v>37</v>
      </c>
      <c r="Q16" s="35" t="s">
        <v>38</v>
      </c>
      <c r="R16" s="35" t="s">
        <v>39</v>
      </c>
      <c r="S16" s="35" t="s">
        <v>40</v>
      </c>
      <c r="T16" s="35" t="s">
        <v>43</v>
      </c>
      <c r="U16" s="35" t="s">
        <v>44</v>
      </c>
    </row>
    <row r="17" spans="1:21" x14ac:dyDescent="0.25">
      <c r="A1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12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2</v>
      </c>
      <c r="J23">
        <v>0</v>
      </c>
      <c r="K23">
        <v>2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</row>
    <row r="24" spans="1:21" x14ac:dyDescent="0.25">
      <c r="A24" t="s">
        <v>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19</v>
      </c>
      <c r="B26">
        <v>1</v>
      </c>
      <c r="C26">
        <v>0</v>
      </c>
      <c r="D26">
        <v>3</v>
      </c>
      <c r="E26">
        <v>2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</row>
  </sheetData>
  <mergeCells count="2">
    <mergeCell ref="A15:C15"/>
    <mergeCell ref="A1:C1"/>
  </mergeCells>
  <phoneticPr fontId="7" type="noConversion"/>
  <conditionalFormatting sqref="A2:S12">
    <cfRule type="colorScale" priority="2">
      <colorScale>
        <cfvo type="min"/>
        <cfvo type="max"/>
        <color rgb="FFFCFCFF"/>
        <color rgb="FFF8696B"/>
      </colorScale>
    </cfRule>
  </conditionalFormatting>
  <conditionalFormatting sqref="A16:U2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4627-0676-4CA5-9FFB-A7F81C7A916E}">
  <dimension ref="A2:CW7"/>
  <sheetViews>
    <sheetView zoomScale="80" zoomScaleNormal="80" workbookViewId="0">
      <pane xSplit="1" ySplit="3" topLeftCell="CA4" activePane="bottomRight" state="frozen"/>
      <selection pane="topRight" activeCell="B1" sqref="B1"/>
      <selection pane="bottomLeft" activeCell="A4" sqref="A4"/>
      <selection pane="bottomRight" activeCell="N16" sqref="N16"/>
    </sheetView>
  </sheetViews>
  <sheetFormatPr defaultRowHeight="15" x14ac:dyDescent="0.25"/>
  <cols>
    <col min="1" max="1" width="20.5703125" customWidth="1"/>
    <col min="3" max="3" width="15.5703125" customWidth="1"/>
    <col min="4" max="4" width="18.5703125" customWidth="1"/>
    <col min="5" max="5" width="12.85546875" customWidth="1"/>
    <col min="6" max="6" width="12.42578125" customWidth="1"/>
  </cols>
  <sheetData>
    <row r="2" spans="1:101" ht="15.75" x14ac:dyDescent="0.25">
      <c r="A2" s="38" t="s">
        <v>0</v>
      </c>
      <c r="B2" s="9" t="s">
        <v>10</v>
      </c>
      <c r="C2" s="9" t="s">
        <v>10</v>
      </c>
      <c r="D2" s="9" t="s">
        <v>10</v>
      </c>
      <c r="E2" s="9" t="s">
        <v>10</v>
      </c>
      <c r="F2" s="9" t="s">
        <v>10</v>
      </c>
      <c r="G2" s="9" t="s">
        <v>10</v>
      </c>
      <c r="H2" s="9" t="s">
        <v>10</v>
      </c>
      <c r="I2" s="9" t="s">
        <v>10</v>
      </c>
      <c r="J2" s="9" t="s">
        <v>10</v>
      </c>
      <c r="K2" s="9" t="s">
        <v>10</v>
      </c>
      <c r="L2" s="9" t="s">
        <v>10</v>
      </c>
      <c r="M2" s="9" t="s">
        <v>10</v>
      </c>
      <c r="N2" s="9" t="s">
        <v>10</v>
      </c>
      <c r="O2" s="9" t="s">
        <v>10</v>
      </c>
      <c r="P2" s="9" t="s">
        <v>10</v>
      </c>
      <c r="Q2" s="9" t="s">
        <v>10</v>
      </c>
      <c r="R2" s="9" t="s">
        <v>10</v>
      </c>
      <c r="S2" s="9" t="s">
        <v>10</v>
      </c>
      <c r="T2" s="9" t="s">
        <v>10</v>
      </c>
      <c r="U2" s="9" t="s">
        <v>10</v>
      </c>
      <c r="V2" s="9" t="s">
        <v>12</v>
      </c>
      <c r="W2" s="9" t="s">
        <v>12</v>
      </c>
      <c r="X2" s="9" t="s">
        <v>12</v>
      </c>
      <c r="Y2" s="9" t="s">
        <v>12</v>
      </c>
      <c r="Z2" s="9" t="s">
        <v>12</v>
      </c>
      <c r="AA2" s="9" t="s">
        <v>12</v>
      </c>
      <c r="AB2" s="9" t="s">
        <v>12</v>
      </c>
      <c r="AC2" s="9" t="s">
        <v>12</v>
      </c>
      <c r="AD2" s="9" t="s">
        <v>12</v>
      </c>
      <c r="AE2" s="9" t="s">
        <v>12</v>
      </c>
      <c r="AF2" s="9" t="s">
        <v>12</v>
      </c>
      <c r="AG2" s="9" t="s">
        <v>12</v>
      </c>
      <c r="AH2" s="9" t="s">
        <v>12</v>
      </c>
      <c r="AI2" s="9" t="s">
        <v>12</v>
      </c>
      <c r="AJ2" s="9" t="s">
        <v>12</v>
      </c>
      <c r="AK2" s="9" t="s">
        <v>12</v>
      </c>
      <c r="AL2" s="9" t="s">
        <v>12</v>
      </c>
      <c r="AM2" s="9" t="s">
        <v>12</v>
      </c>
      <c r="AN2" s="9" t="s">
        <v>12</v>
      </c>
      <c r="AO2" s="9" t="s">
        <v>12</v>
      </c>
      <c r="AP2" s="9" t="s">
        <v>14</v>
      </c>
      <c r="AQ2" s="9" t="s">
        <v>14</v>
      </c>
      <c r="AR2" s="9" t="s">
        <v>14</v>
      </c>
      <c r="AS2" s="9" t="s">
        <v>14</v>
      </c>
      <c r="AT2" s="9" t="s">
        <v>14</v>
      </c>
      <c r="AU2" s="9" t="s">
        <v>14</v>
      </c>
      <c r="AV2" s="9" t="s">
        <v>14</v>
      </c>
      <c r="AW2" s="9" t="s">
        <v>14</v>
      </c>
      <c r="AX2" s="9" t="s">
        <v>14</v>
      </c>
      <c r="AY2" s="9" t="s">
        <v>14</v>
      </c>
      <c r="AZ2" s="9" t="s">
        <v>14</v>
      </c>
      <c r="BA2" s="9" t="s">
        <v>14</v>
      </c>
      <c r="BB2" s="9" t="s">
        <v>14</v>
      </c>
      <c r="BC2" s="9" t="s">
        <v>14</v>
      </c>
      <c r="BD2" s="9" t="s">
        <v>14</v>
      </c>
      <c r="BE2" s="9" t="s">
        <v>14</v>
      </c>
      <c r="BF2" s="9" t="s">
        <v>14</v>
      </c>
      <c r="BG2" s="9" t="s">
        <v>14</v>
      </c>
      <c r="BH2" s="9" t="s">
        <v>14</v>
      </c>
      <c r="BI2" s="9" t="s">
        <v>14</v>
      </c>
      <c r="BJ2" s="17" t="s">
        <v>16</v>
      </c>
      <c r="BK2" s="17" t="s">
        <v>16</v>
      </c>
      <c r="BL2" s="17" t="s">
        <v>16</v>
      </c>
      <c r="BM2" s="17" t="s">
        <v>16</v>
      </c>
      <c r="BN2" s="17" t="s">
        <v>16</v>
      </c>
      <c r="BO2" s="17" t="s">
        <v>16</v>
      </c>
      <c r="BP2" s="17" t="s">
        <v>16</v>
      </c>
      <c r="BQ2" s="17" t="s">
        <v>16</v>
      </c>
      <c r="BR2" s="17" t="s">
        <v>16</v>
      </c>
      <c r="BS2" s="17" t="s">
        <v>16</v>
      </c>
      <c r="BT2" s="17" t="s">
        <v>16</v>
      </c>
      <c r="BU2" s="17" t="s">
        <v>16</v>
      </c>
      <c r="BV2" s="17" t="s">
        <v>16</v>
      </c>
      <c r="BW2" s="17" t="s">
        <v>16</v>
      </c>
      <c r="BX2" s="17" t="s">
        <v>16</v>
      </c>
      <c r="BY2" s="17" t="s">
        <v>16</v>
      </c>
      <c r="BZ2" s="17" t="s">
        <v>16</v>
      </c>
      <c r="CA2" s="17" t="s">
        <v>16</v>
      </c>
      <c r="CB2" s="17" t="s">
        <v>16</v>
      </c>
      <c r="CC2" s="17" t="s">
        <v>16</v>
      </c>
      <c r="CD2" s="9" t="s">
        <v>19</v>
      </c>
      <c r="CE2" s="9" t="s">
        <v>19</v>
      </c>
      <c r="CF2" s="9" t="s">
        <v>19</v>
      </c>
      <c r="CG2" s="9" t="s">
        <v>19</v>
      </c>
      <c r="CH2" s="9" t="s">
        <v>19</v>
      </c>
      <c r="CI2" s="9" t="s">
        <v>19</v>
      </c>
      <c r="CJ2" s="9" t="s">
        <v>19</v>
      </c>
      <c r="CK2" s="9" t="s">
        <v>19</v>
      </c>
      <c r="CL2" s="9" t="s">
        <v>19</v>
      </c>
      <c r="CM2" s="9" t="s">
        <v>19</v>
      </c>
      <c r="CN2" s="9" t="s">
        <v>19</v>
      </c>
      <c r="CO2" s="9" t="s">
        <v>19</v>
      </c>
      <c r="CP2" s="9" t="s">
        <v>19</v>
      </c>
      <c r="CQ2" s="9" t="s">
        <v>19</v>
      </c>
      <c r="CR2" s="9" t="s">
        <v>19</v>
      </c>
      <c r="CS2" s="9" t="s">
        <v>19</v>
      </c>
      <c r="CT2" s="9" t="s">
        <v>19</v>
      </c>
      <c r="CU2" s="9" t="s">
        <v>19</v>
      </c>
      <c r="CV2" s="9" t="s">
        <v>19</v>
      </c>
      <c r="CW2" s="9" t="s">
        <v>19</v>
      </c>
    </row>
    <row r="3" spans="1:101" ht="15.75" x14ac:dyDescent="0.25">
      <c r="A3" s="38" t="s">
        <v>1</v>
      </c>
      <c r="B3" s="1">
        <v>2005</v>
      </c>
      <c r="C3" s="1">
        <v>2006</v>
      </c>
      <c r="D3" s="1">
        <v>2007</v>
      </c>
      <c r="E3" s="1">
        <v>2008</v>
      </c>
      <c r="F3" s="1">
        <v>2009</v>
      </c>
      <c r="G3" s="1">
        <v>2010</v>
      </c>
      <c r="H3" s="1">
        <v>2011</v>
      </c>
      <c r="I3" s="1">
        <v>2012</v>
      </c>
      <c r="J3" s="1">
        <v>2013</v>
      </c>
      <c r="K3" s="1">
        <v>2014</v>
      </c>
      <c r="L3" s="1">
        <v>2015</v>
      </c>
      <c r="M3" s="1">
        <v>2016</v>
      </c>
      <c r="N3" s="1">
        <v>2017</v>
      </c>
      <c r="O3" s="1">
        <v>2018</v>
      </c>
      <c r="P3" s="1">
        <v>2019</v>
      </c>
      <c r="Q3" s="1">
        <v>2020</v>
      </c>
      <c r="R3" s="1">
        <v>2021</v>
      </c>
      <c r="S3" s="1">
        <v>2022</v>
      </c>
      <c r="T3" s="1">
        <v>2023</v>
      </c>
      <c r="U3" s="1">
        <v>2024</v>
      </c>
      <c r="V3" s="1">
        <v>2005</v>
      </c>
      <c r="W3" s="1">
        <v>2006</v>
      </c>
      <c r="X3" s="1">
        <v>2007</v>
      </c>
      <c r="Y3" s="1">
        <v>2008</v>
      </c>
      <c r="Z3" s="1">
        <v>2009</v>
      </c>
      <c r="AA3" s="1">
        <v>2010</v>
      </c>
      <c r="AB3" s="1">
        <v>2011</v>
      </c>
      <c r="AC3" s="1">
        <v>2012</v>
      </c>
      <c r="AD3" s="1">
        <v>2013</v>
      </c>
      <c r="AE3" s="1">
        <v>2014</v>
      </c>
      <c r="AF3" s="1">
        <v>2015</v>
      </c>
      <c r="AG3" s="1">
        <v>2016</v>
      </c>
      <c r="AH3" s="1">
        <v>2017</v>
      </c>
      <c r="AI3" s="1">
        <v>2018</v>
      </c>
      <c r="AJ3" s="1">
        <v>2019</v>
      </c>
      <c r="AK3" s="1">
        <v>2020</v>
      </c>
      <c r="AL3" s="1">
        <v>2021</v>
      </c>
      <c r="AM3" s="1">
        <v>2022</v>
      </c>
      <c r="AN3" s="1">
        <v>2023</v>
      </c>
      <c r="AO3" s="1">
        <v>2024</v>
      </c>
      <c r="AP3" s="1">
        <v>2005</v>
      </c>
      <c r="AQ3" s="1">
        <v>2006</v>
      </c>
      <c r="AR3" s="1">
        <v>2007</v>
      </c>
      <c r="AS3" s="1">
        <v>2008</v>
      </c>
      <c r="AT3" s="1">
        <v>2009</v>
      </c>
      <c r="AU3" s="1">
        <v>2010</v>
      </c>
      <c r="AV3" s="1">
        <v>2011</v>
      </c>
      <c r="AW3" s="1">
        <v>2012</v>
      </c>
      <c r="AX3" s="1">
        <v>2013</v>
      </c>
      <c r="AY3" s="1">
        <v>2014</v>
      </c>
      <c r="AZ3" s="1">
        <v>2015</v>
      </c>
      <c r="BA3" s="1">
        <v>2016</v>
      </c>
      <c r="BB3" s="1">
        <v>2017</v>
      </c>
      <c r="BC3" s="1">
        <v>2018</v>
      </c>
      <c r="BD3" s="1">
        <v>2019</v>
      </c>
      <c r="BE3" s="1">
        <v>2020</v>
      </c>
      <c r="BF3" s="1">
        <v>2021</v>
      </c>
      <c r="BG3" s="1">
        <v>2022</v>
      </c>
      <c r="BH3" s="1">
        <v>2023</v>
      </c>
      <c r="BI3" s="1">
        <v>2024</v>
      </c>
      <c r="BJ3" s="1">
        <v>2005</v>
      </c>
      <c r="BK3" s="1">
        <v>2006</v>
      </c>
      <c r="BL3" s="1">
        <v>2007</v>
      </c>
      <c r="BM3" s="1">
        <v>2008</v>
      </c>
      <c r="BN3" s="1">
        <v>2009</v>
      </c>
      <c r="BO3" s="1">
        <v>2010</v>
      </c>
      <c r="BP3" s="1">
        <v>2011</v>
      </c>
      <c r="BQ3" s="1">
        <v>2012</v>
      </c>
      <c r="BR3" s="1">
        <v>2013</v>
      </c>
      <c r="BS3" s="1">
        <v>2014</v>
      </c>
      <c r="BT3" s="1">
        <v>2015</v>
      </c>
      <c r="BU3" s="1">
        <v>2016</v>
      </c>
      <c r="BV3" s="1">
        <v>2017</v>
      </c>
      <c r="BW3" s="1">
        <v>2018</v>
      </c>
      <c r="BX3" s="1">
        <v>2019</v>
      </c>
      <c r="BY3" s="1">
        <v>2020</v>
      </c>
      <c r="BZ3" s="1">
        <v>2021</v>
      </c>
      <c r="CA3" s="1">
        <v>2022</v>
      </c>
      <c r="CB3" s="1">
        <v>2023</v>
      </c>
      <c r="CC3" s="1">
        <v>2024</v>
      </c>
      <c r="CD3" s="1">
        <v>2005</v>
      </c>
      <c r="CE3" s="1">
        <v>2006</v>
      </c>
      <c r="CF3" s="1">
        <v>2007</v>
      </c>
      <c r="CG3" s="1">
        <v>2008</v>
      </c>
      <c r="CH3" s="1">
        <v>2009</v>
      </c>
      <c r="CI3" s="1">
        <v>2010</v>
      </c>
      <c r="CJ3" s="1">
        <v>2011</v>
      </c>
      <c r="CK3" s="1">
        <v>2012</v>
      </c>
      <c r="CL3" s="1">
        <v>2013</v>
      </c>
      <c r="CM3" s="1">
        <v>2014</v>
      </c>
      <c r="CN3" s="1">
        <v>2015</v>
      </c>
      <c r="CO3" s="1">
        <v>2016</v>
      </c>
      <c r="CP3" s="1">
        <v>2017</v>
      </c>
      <c r="CQ3" s="1">
        <v>2018</v>
      </c>
      <c r="CR3" s="1">
        <v>2019</v>
      </c>
      <c r="CS3" s="1">
        <v>2020</v>
      </c>
      <c r="CT3" s="1">
        <v>2021</v>
      </c>
      <c r="CU3" s="18">
        <v>2022</v>
      </c>
      <c r="CV3" s="1">
        <v>2023</v>
      </c>
      <c r="CW3" s="18">
        <v>2024</v>
      </c>
    </row>
    <row r="4" spans="1:101" x14ac:dyDescent="0.25">
      <c r="A4" s="37" t="s">
        <v>45</v>
      </c>
      <c r="F4">
        <v>1</v>
      </c>
      <c r="T4">
        <v>1</v>
      </c>
      <c r="Z4">
        <v>1</v>
      </c>
      <c r="AN4">
        <v>1</v>
      </c>
      <c r="AT4">
        <v>2</v>
      </c>
      <c r="AV4">
        <v>1</v>
      </c>
      <c r="AW4">
        <v>1</v>
      </c>
      <c r="AY4">
        <v>1</v>
      </c>
      <c r="BH4">
        <v>1</v>
      </c>
      <c r="BN4">
        <v>2</v>
      </c>
      <c r="BP4">
        <v>1</v>
      </c>
      <c r="BQ4">
        <v>1</v>
      </c>
      <c r="BS4">
        <v>1</v>
      </c>
      <c r="BU4">
        <v>1</v>
      </c>
      <c r="BY4">
        <v>1</v>
      </c>
      <c r="CB4">
        <v>1</v>
      </c>
      <c r="CE4">
        <v>1</v>
      </c>
      <c r="CH4">
        <v>2</v>
      </c>
      <c r="CJ4">
        <v>1</v>
      </c>
      <c r="CK4">
        <v>2</v>
      </c>
      <c r="CM4">
        <v>1</v>
      </c>
      <c r="CS4">
        <v>1</v>
      </c>
      <c r="CV4">
        <v>1</v>
      </c>
    </row>
    <row r="5" spans="1:101" x14ac:dyDescent="0.25">
      <c r="A5" s="37" t="s">
        <v>46</v>
      </c>
      <c r="D5">
        <v>1</v>
      </c>
      <c r="E5">
        <v>1</v>
      </c>
      <c r="F5">
        <v>1</v>
      </c>
      <c r="G5">
        <v>1</v>
      </c>
      <c r="H5">
        <v>1</v>
      </c>
      <c r="I5">
        <v>2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2</v>
      </c>
      <c r="AX5">
        <v>1</v>
      </c>
      <c r="AY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2</v>
      </c>
      <c r="BT5">
        <v>1</v>
      </c>
      <c r="BY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2</v>
      </c>
      <c r="CJ5">
        <v>1</v>
      </c>
      <c r="CK5">
        <v>1</v>
      </c>
      <c r="CM5">
        <v>1</v>
      </c>
      <c r="CN5">
        <v>1</v>
      </c>
      <c r="CO5">
        <v>1</v>
      </c>
      <c r="CQ5">
        <v>1</v>
      </c>
      <c r="CS5">
        <v>1</v>
      </c>
    </row>
    <row r="6" spans="1:101" x14ac:dyDescent="0.25">
      <c r="A6" s="37" t="s">
        <v>47</v>
      </c>
      <c r="AA6">
        <v>1</v>
      </c>
      <c r="AD6">
        <v>1</v>
      </c>
      <c r="AZ6">
        <v>1</v>
      </c>
      <c r="BP6">
        <v>1</v>
      </c>
      <c r="BQ6">
        <v>1</v>
      </c>
      <c r="BS6">
        <v>2</v>
      </c>
      <c r="BX6">
        <v>1</v>
      </c>
      <c r="BZ6">
        <v>1</v>
      </c>
      <c r="CA6">
        <v>1</v>
      </c>
      <c r="CD6">
        <v>1</v>
      </c>
      <c r="CF6">
        <v>3</v>
      </c>
      <c r="CG6">
        <v>2</v>
      </c>
      <c r="CH6">
        <v>1</v>
      </c>
      <c r="CJ6">
        <v>1</v>
      </c>
      <c r="CK6">
        <v>1</v>
      </c>
      <c r="CM6">
        <v>1</v>
      </c>
      <c r="CN6">
        <v>1</v>
      </c>
      <c r="CR6">
        <v>1</v>
      </c>
    </row>
    <row r="7" spans="1:101" x14ac:dyDescent="0.25">
      <c r="A7" s="37" t="s">
        <v>48</v>
      </c>
      <c r="BQ7">
        <v>1</v>
      </c>
      <c r="BY7">
        <v>1</v>
      </c>
      <c r="CC7">
        <v>1</v>
      </c>
      <c r="CS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FULL</vt:lpstr>
      <vt:lpstr>EXC rate</vt:lpstr>
      <vt:lpstr>DATA FULL (Log)</vt:lpstr>
      <vt:lpstr>GDP</vt:lpstr>
      <vt:lpstr>Conflict Table</vt:lpstr>
      <vt:lpstr>Conflict 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Anwar Ahmad</dc:creator>
  <cp:keywords/>
  <dc:description/>
  <cp:lastModifiedBy>Anwar Ahmad</cp:lastModifiedBy>
  <cp:revision/>
  <dcterms:created xsi:type="dcterms:W3CDTF">2024-07-03T10:03:56Z</dcterms:created>
  <dcterms:modified xsi:type="dcterms:W3CDTF">2026-01-23T02:33:47Z</dcterms:modified>
  <cp:category/>
  <cp:contentStatus/>
</cp:coreProperties>
</file>